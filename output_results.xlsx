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ty/Development/python/afm10_project/"/>
    </mc:Choice>
  </mc:AlternateContent>
  <xr:revisionPtr revIDLastSave="0" documentId="13_ncr:1_{ED9E6756-D18B-C64E-AF4E-BC677A0103D7}" xr6:coauthVersionLast="47" xr6:coauthVersionMax="47" xr10:uidLastSave="{00000000-0000-0000-0000-000000000000}"/>
  <bookViews>
    <workbookView xWindow="32000" yWindow="620" windowWidth="32000" windowHeight="35380" xr2:uid="{677D5998-A69A-5245-88E6-E79ECB44726D}"/>
  </bookViews>
  <sheets>
    <sheet name="outpu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R1047" i="1" s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R17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</calcChain>
</file>

<file path=xl/sharedStrings.xml><?xml version="1.0" encoding="utf-8"?>
<sst xmlns="http://schemas.openxmlformats.org/spreadsheetml/2006/main" count="4906" uniqueCount="33">
  <si>
    <t>check</t>
  </si>
  <si>
    <t>contract_code</t>
  </si>
  <si>
    <t>ts_event</t>
  </si>
  <si>
    <t>contract_delivery_period</t>
  </si>
  <si>
    <t>ex_style</t>
  </si>
  <si>
    <t>opt_term</t>
  </si>
  <si>
    <t>option_expiry_date</t>
  </si>
  <si>
    <t>put_volume</t>
  </si>
  <si>
    <t>call_volume</t>
  </si>
  <si>
    <t>euro_short_term_rate</t>
  </si>
  <si>
    <t>TFO</t>
  </si>
  <si>
    <t>2026-05</t>
  </si>
  <si>
    <t>E</t>
  </si>
  <si>
    <t>M</t>
  </si>
  <si>
    <t>2026-06</t>
  </si>
  <si>
    <t>2026-07</t>
  </si>
  <si>
    <t>2026-08</t>
  </si>
  <si>
    <t>2026-09</t>
  </si>
  <si>
    <t>2026-10</t>
  </si>
  <si>
    <t>2027-01</t>
  </si>
  <si>
    <t>2026-12</t>
  </si>
  <si>
    <t>2026-11</t>
  </si>
  <si>
    <t>2027-03</t>
  </si>
  <si>
    <t>2027-04</t>
  </si>
  <si>
    <t>2027-02</t>
  </si>
  <si>
    <t>Column2</t>
  </si>
  <si>
    <t>T</t>
  </si>
  <si>
    <t>P</t>
  </si>
  <si>
    <t>C</t>
  </si>
  <si>
    <t>K</t>
  </si>
  <si>
    <t>S0</t>
  </si>
  <si>
    <t>CHECK2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</si>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</sst>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557C7-D587-F44F-AD5B-D6B9AB9DC5F5}" name="Table1" displayName="Table1" ref="A1:R1223" totalsRowShown="0">
  <autoFilter ref="A1:R1223" xr:uid="{2D4557C7-D587-F44F-AD5B-D6B9AB9DC5F5}"/>
  <tableColumns count="18">
    <tableColumn id="1" xr3:uid="{9A060DC9-3F26-3E4F-ABF6-D12BD22D125D}" name="check"/>
    <tableColumn id="2" xr3:uid="{4EA0E109-BBAD-1A46-BAB0-9373CB6AB46B}" name="contract_code"/>
    <tableColumn id="3" xr3:uid="{ED001D75-9E73-2649-AFB4-CAFA2B0B00DE}" name="ts_event" dataDxfId="5"/>
    <tableColumn id="4" xr3:uid="{38EAE892-B583-934A-8C64-7C58CFBD4E25}" name="contract_delivery_period"/>
    <tableColumn id="5" xr3:uid="{E931DFB3-29B0-5B47-A744-A520F9D1E878}" name="K"/>
    <tableColumn id="6" xr3:uid="{FDBBCE2F-4770-5A41-A625-6EB969E8D029}" name="ex_style"/>
    <tableColumn id="7" xr3:uid="{36279746-6BD1-854A-9732-B837E0571908}" name="opt_term"/>
    <tableColumn id="8" xr3:uid="{272D9572-40D5-0544-AD5A-83907002EEC0}" name="option_expiry_date" dataDxfId="4"/>
    <tableColumn id="9" xr3:uid="{D21FEB62-FE70-A24C-93C9-470991A1A249}" name="P"/>
    <tableColumn id="10" xr3:uid="{18FA12E6-0101-D345-99FD-787ED197ACED}" name="C"/>
    <tableColumn id="11" xr3:uid="{E7D6C45C-B619-B94A-BA4A-4D77DFEE13BE}" name="put_volume"/>
    <tableColumn id="12" xr3:uid="{FAF47345-4F59-024D-AF9F-A5E7C1061CBE}" name="call_volume"/>
    <tableColumn id="13" xr3:uid="{7CEC7A9C-3394-F547-8A2B-853CC55F6ECB}" name="S0"/>
    <tableColumn id="14" xr3:uid="{89D089B6-0B25-984C-9540-C1D9FEDB8A37}" name="euro_short_term_rate"/>
    <tableColumn id="15" xr3:uid="{3C9C4FF3-5E9A-5E47-90D0-49C91F6DBC93}" name="CHECK2" dataDxfId="3">
      <calculatedColumnFormula>(Table1[[#This Row],[P]]&lt;&gt;0)*(Table1[[#This Row],[C]]&lt;&gt;0)</calculatedColumnFormula>
    </tableColumn>
    <tableColumn id="16" xr3:uid="{35C26679-1493-A246-84D8-CD477B56237A}" name="Column2" dataDxfId="2">
      <calculatedColumnFormula>NETWORKDAYS(Table1[[#This Row],[ts_event]],Table1[[#This Row],[option_expiry_date]])</calculatedColumnFormula>
    </tableColumn>
    <tableColumn id="17" xr3:uid="{7F1CBCC7-1779-5C45-A5FD-7789274CFA8E}" name="T" dataDxfId="0">
      <calculatedColumnFormula>Table1[[#This Row],[Column2]]/252</calculatedColumnFormula>
    </tableColumn>
    <tableColumn id="18" xr3:uid="{4FAA30F2-02AE-7D4C-B603-CCF95ED29A8C}" name="r" dataDxfId="1">
      <calculatedColumnFormula>IF(Table1[[#This Row],[CHECK2]]=0,NA(),
-(1/Table1[[#This Row],[T]])*LN((Table1[[#This Row],[S0]]-Table1[[#This Row],[C]]+Table1[[#This Row],[P]])/Table1[[#This Row],[K]])
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22EF3A-D804-4F42-BB4E-5560D37AE5FC}">
  <we:reference id="wa104382047" version="1.0.2.7" store="en-US" storeType="OMEX"/>
  <we:alternateReferences>
    <we:reference id="WA104382047" version="1.0.2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_xldudf_MAPCITE_DISTANCETO</we:customFunctionIds>
        <we:customFunctionIds>_xldudf_MAPCITE_DISTANCETOFURTHEST</we:customFunctionIds>
        <we:customFunctionIds>_xldudf_MAPCITE_DISTANCETONEAREST</we:customFunctionIds>
        <we:customFunctionIds>_xldudf_MAPCITE_FINDFURTHEST</we:customFunctionIds>
        <we:customFunctionIds>_xldudf_MAPCITE_FINDNEAREST</we:customFunctionIds>
        <we:customFunctionIds>_xldudf_MAPCITE_AVERAGEINRADIUS</we:customFunctionIds>
        <we:customFunctionIds>_xldudf_MAPCITE_COUNTINRADIUS</we:customFunctionIds>
        <we:customFunctionIds>_xldudf_MAPCITE_MAXINRADIUS</we:customFunctionIds>
        <we:customFunctionIds>_xldudf_MAPCITE_MININRADIUS</we:customFunctionIds>
        <we:customFunctionIds>_xldudf_MAPCITE_SUMINRADIUS</we:customFunctionIds>
        <we:customFunctionIds>_xldudf_MAPCITE_CO2EFREIGHT</we:customFunctionIds>
        <we:customFunctionIds>_xldudf_MAPCITE_CO2EBUSINESSTRAVEL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FEF0-6DCF-3641-8010-2B4B093477EF}">
  <dimension ref="A1:R1223"/>
  <sheetViews>
    <sheetView tabSelected="1" topLeftCell="E1" workbookViewId="0">
      <selection activeCell="Q3" sqref="Q3"/>
    </sheetView>
  </sheetViews>
  <sheetFormatPr baseColWidth="10" defaultRowHeight="16"/>
  <cols>
    <col min="2" max="2" width="15.33203125" customWidth="1"/>
    <col min="4" max="4" width="23.6640625" customWidth="1"/>
    <col min="5" max="5" width="19" customWidth="1"/>
    <col min="8" max="8" width="18.83203125" customWidth="1"/>
    <col min="9" max="9" width="11.1640625" customWidth="1"/>
    <col min="10" max="10" width="11.5" customWidth="1"/>
    <col min="11" max="11" width="12.83203125" customWidth="1"/>
    <col min="12" max="12" width="13.1640625" customWidth="1"/>
    <col min="13" max="13" width="15.83203125" customWidth="1"/>
    <col min="14" max="14" width="2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4</v>
      </c>
      <c r="G1" t="s">
        <v>5</v>
      </c>
      <c r="H1" t="s">
        <v>6</v>
      </c>
      <c r="I1" t="s">
        <v>27</v>
      </c>
      <c r="J1" t="s">
        <v>28</v>
      </c>
      <c r="K1" t="s">
        <v>7</v>
      </c>
      <c r="L1" t="s">
        <v>8</v>
      </c>
      <c r="M1" t="s">
        <v>30</v>
      </c>
      <c r="N1" t="s">
        <v>9</v>
      </c>
      <c r="O1" t="s">
        <v>31</v>
      </c>
      <c r="P1" t="s">
        <v>25</v>
      </c>
      <c r="Q1" t="s">
        <v>26</v>
      </c>
      <c r="R1" t="s">
        <v>32</v>
      </c>
    </row>
    <row r="2" spans="1:18">
      <c r="A2">
        <v>1</v>
      </c>
      <c r="B2" t="s">
        <v>10</v>
      </c>
      <c r="C2" s="1">
        <v>46132</v>
      </c>
      <c r="D2" t="s">
        <v>11</v>
      </c>
      <c r="E2">
        <v>32</v>
      </c>
      <c r="F2" t="s">
        <v>12</v>
      </c>
      <c r="G2" t="s">
        <v>13</v>
      </c>
      <c r="H2" s="1">
        <v>46136</v>
      </c>
      <c r="I2">
        <v>0.03</v>
      </c>
      <c r="J2">
        <v>0</v>
      </c>
      <c r="K2">
        <v>300</v>
      </c>
      <c r="L2">
        <v>0</v>
      </c>
      <c r="M2">
        <v>39.597742348718299</v>
      </c>
      <c r="N2">
        <v>1.931</v>
      </c>
      <c r="O2">
        <f>(Table1[[#This Row],[P]]&lt;&gt;0)*(Table1[[#This Row],[C]]&lt;&gt;0)</f>
        <v>0</v>
      </c>
      <c r="P2">
        <f>NETWORKDAYS(Table1[[#This Row],[ts_event]],Table1[[#This Row],[option_expiry_date]])</f>
        <v>5</v>
      </c>
      <c r="Q2">
        <f>Table1[[#This Row],[Column2]]/252</f>
        <v>1.984126984126984E-2</v>
      </c>
      <c r="R2" s="2" t="e">
        <f>IF(Table1[[#This Row],[CHECK2]]=0,NA(),
-(1/Table1[[#This Row],[T]])*LN((Table1[[#This Row],[S0]]-Table1[[#This Row],[C]]+Table1[[#This Row],[P]])/Table1[[#This Row],[K]])
)</f>
        <v>#N/A</v>
      </c>
    </row>
    <row r="3" spans="1:18">
      <c r="A3">
        <v>1</v>
      </c>
      <c r="B3" t="s">
        <v>10</v>
      </c>
      <c r="C3" s="1">
        <v>46132</v>
      </c>
      <c r="D3" t="s">
        <v>11</v>
      </c>
      <c r="E3">
        <v>33</v>
      </c>
      <c r="F3" t="s">
        <v>12</v>
      </c>
      <c r="G3" t="s">
        <v>13</v>
      </c>
      <c r="H3" s="1">
        <v>46136</v>
      </c>
      <c r="I3">
        <v>0.05</v>
      </c>
      <c r="J3">
        <v>0</v>
      </c>
      <c r="K3">
        <v>275</v>
      </c>
      <c r="L3">
        <v>0</v>
      </c>
      <c r="M3">
        <v>39.597742348718299</v>
      </c>
      <c r="N3">
        <v>1.931</v>
      </c>
      <c r="O3">
        <f>(Table1[[#This Row],[P]]&lt;&gt;0)*(Table1[[#This Row],[C]]&lt;&gt;0)</f>
        <v>0</v>
      </c>
      <c r="P3">
        <f>NETWORKDAYS(Table1[[#This Row],[ts_event]],Table1[[#This Row],[option_expiry_date]])</f>
        <v>5</v>
      </c>
      <c r="Q3">
        <f>Table1[[#This Row],[Column2]]/252</f>
        <v>1.984126984126984E-2</v>
      </c>
      <c r="R3" s="2" t="e">
        <f>IF(Table1[[#This Row],[CHECK2]]=0,NA(),
-(1/Table1[[#This Row],[T]])*LN((Table1[[#This Row],[S0]]-Table1[[#This Row],[C]]+Table1[[#This Row],[P]])/Table1[[#This Row],[K]])
)</f>
        <v>#N/A</v>
      </c>
    </row>
    <row r="4" spans="1:18">
      <c r="A4">
        <v>1</v>
      </c>
      <c r="B4" t="s">
        <v>10</v>
      </c>
      <c r="C4" s="1">
        <v>46132</v>
      </c>
      <c r="D4" t="s">
        <v>11</v>
      </c>
      <c r="E4">
        <v>34</v>
      </c>
      <c r="F4" t="s">
        <v>12</v>
      </c>
      <c r="G4" t="s">
        <v>13</v>
      </c>
      <c r="H4" s="1">
        <v>46136</v>
      </c>
      <c r="I4">
        <v>0.12</v>
      </c>
      <c r="J4">
        <v>0</v>
      </c>
      <c r="K4">
        <v>375</v>
      </c>
      <c r="L4">
        <v>0</v>
      </c>
      <c r="M4">
        <v>39.597742348718299</v>
      </c>
      <c r="N4">
        <v>1.931</v>
      </c>
      <c r="O4">
        <f>(Table1[[#This Row],[P]]&lt;&gt;0)*(Table1[[#This Row],[C]]&lt;&gt;0)</f>
        <v>0</v>
      </c>
      <c r="P4">
        <f>NETWORKDAYS(Table1[[#This Row],[ts_event]],Table1[[#This Row],[option_expiry_date]])</f>
        <v>5</v>
      </c>
      <c r="Q4">
        <f>Table1[[#This Row],[Column2]]/252</f>
        <v>1.984126984126984E-2</v>
      </c>
      <c r="R4" s="2" t="e">
        <f>IF(Table1[[#This Row],[CHECK2]]=0,NA(),
-(1/Table1[[#This Row],[T]])*LN((Table1[[#This Row],[S0]]-Table1[[#This Row],[C]]+Table1[[#This Row],[P]])/Table1[[#This Row],[K]])
)</f>
        <v>#N/A</v>
      </c>
    </row>
    <row r="5" spans="1:18">
      <c r="A5">
        <v>2</v>
      </c>
      <c r="B5" t="s">
        <v>10</v>
      </c>
      <c r="C5" s="1">
        <v>46132</v>
      </c>
      <c r="D5" t="s">
        <v>11</v>
      </c>
      <c r="E5">
        <v>35</v>
      </c>
      <c r="F5" t="s">
        <v>12</v>
      </c>
      <c r="G5" t="s">
        <v>13</v>
      </c>
      <c r="H5" s="1">
        <v>46136</v>
      </c>
      <c r="I5">
        <v>0.191470588235294</v>
      </c>
      <c r="J5">
        <v>0</v>
      </c>
      <c r="K5">
        <v>3400</v>
      </c>
      <c r="L5">
        <v>0</v>
      </c>
      <c r="M5">
        <v>39.597742348718299</v>
      </c>
      <c r="N5">
        <v>1.931</v>
      </c>
      <c r="O5">
        <f>(Table1[[#This Row],[P]]&lt;&gt;0)*(Table1[[#This Row],[C]]&lt;&gt;0)</f>
        <v>0</v>
      </c>
      <c r="P5">
        <f>NETWORKDAYS(Table1[[#This Row],[ts_event]],Table1[[#This Row],[option_expiry_date]])</f>
        <v>5</v>
      </c>
      <c r="Q5">
        <f>Table1[[#This Row],[Column2]]/252</f>
        <v>1.984126984126984E-2</v>
      </c>
      <c r="R5" s="2" t="e">
        <f>IF(Table1[[#This Row],[CHECK2]]=0,NA(),
-(1/Table1[[#This Row],[T]])*LN((Table1[[#This Row],[S0]]-Table1[[#This Row],[C]]+Table1[[#This Row],[P]])/Table1[[#This Row],[K]])
)</f>
        <v>#N/A</v>
      </c>
    </row>
    <row r="6" spans="1:18">
      <c r="A6">
        <v>1</v>
      </c>
      <c r="B6" t="s">
        <v>10</v>
      </c>
      <c r="C6" s="1">
        <v>46132</v>
      </c>
      <c r="D6" t="s">
        <v>11</v>
      </c>
      <c r="E6">
        <v>36</v>
      </c>
      <c r="F6" t="s">
        <v>12</v>
      </c>
      <c r="G6" t="s">
        <v>13</v>
      </c>
      <c r="H6" s="1">
        <v>46136</v>
      </c>
      <c r="I6">
        <v>0.23</v>
      </c>
      <c r="J6">
        <v>0</v>
      </c>
      <c r="K6">
        <v>250</v>
      </c>
      <c r="L6">
        <v>0</v>
      </c>
      <c r="M6">
        <v>39.597742348718299</v>
      </c>
      <c r="N6">
        <v>1.931</v>
      </c>
      <c r="O6">
        <f>(Table1[[#This Row],[P]]&lt;&gt;0)*(Table1[[#This Row],[C]]&lt;&gt;0)</f>
        <v>0</v>
      </c>
      <c r="P6">
        <f>NETWORKDAYS(Table1[[#This Row],[ts_event]],Table1[[#This Row],[option_expiry_date]])</f>
        <v>5</v>
      </c>
      <c r="Q6">
        <f>Table1[[#This Row],[Column2]]/252</f>
        <v>1.984126984126984E-2</v>
      </c>
      <c r="R6" s="2" t="e">
        <f>IF(Table1[[#This Row],[CHECK2]]=0,NA(),
-(1/Table1[[#This Row],[T]])*LN((Table1[[#This Row],[S0]]-Table1[[#This Row],[C]]+Table1[[#This Row],[P]])/Table1[[#This Row],[K]])
)</f>
        <v>#N/A</v>
      </c>
    </row>
    <row r="7" spans="1:18">
      <c r="A7">
        <v>2</v>
      </c>
      <c r="B7" t="s">
        <v>10</v>
      </c>
      <c r="C7" s="1">
        <v>46132</v>
      </c>
      <c r="D7" t="s">
        <v>11</v>
      </c>
      <c r="E7">
        <v>37</v>
      </c>
      <c r="F7" t="s">
        <v>12</v>
      </c>
      <c r="G7" t="s">
        <v>13</v>
      </c>
      <c r="H7" s="1">
        <v>46136</v>
      </c>
      <c r="I7">
        <v>0.59736842105263099</v>
      </c>
      <c r="J7">
        <v>0</v>
      </c>
      <c r="K7">
        <v>475</v>
      </c>
      <c r="L7">
        <v>0</v>
      </c>
      <c r="M7">
        <v>39.597742348718299</v>
      </c>
      <c r="N7">
        <v>1.931</v>
      </c>
      <c r="O7">
        <f>(Table1[[#This Row],[P]]&lt;&gt;0)*(Table1[[#This Row],[C]]&lt;&gt;0)</f>
        <v>0</v>
      </c>
      <c r="P7">
        <f>NETWORKDAYS(Table1[[#This Row],[ts_event]],Table1[[#This Row],[option_expiry_date]])</f>
        <v>5</v>
      </c>
      <c r="Q7">
        <f>Table1[[#This Row],[Column2]]/252</f>
        <v>1.984126984126984E-2</v>
      </c>
      <c r="R7" s="2" t="e">
        <f>IF(Table1[[#This Row],[CHECK2]]=0,NA(),
-(1/Table1[[#This Row],[T]])*LN((Table1[[#This Row],[S0]]-Table1[[#This Row],[C]]+Table1[[#This Row],[P]])/Table1[[#This Row],[K]])
)</f>
        <v>#N/A</v>
      </c>
    </row>
    <row r="8" spans="1:18">
      <c r="A8">
        <v>2</v>
      </c>
      <c r="B8" t="s">
        <v>10</v>
      </c>
      <c r="C8" s="1">
        <v>46132</v>
      </c>
      <c r="D8" t="s">
        <v>11</v>
      </c>
      <c r="E8">
        <v>38</v>
      </c>
      <c r="F8" t="s">
        <v>12</v>
      </c>
      <c r="G8" t="s">
        <v>13</v>
      </c>
      <c r="H8" s="1">
        <v>46136</v>
      </c>
      <c r="I8">
        <v>0.72608695652173905</v>
      </c>
      <c r="J8">
        <v>0</v>
      </c>
      <c r="K8">
        <v>575</v>
      </c>
      <c r="L8">
        <v>0</v>
      </c>
      <c r="M8">
        <v>39.597742348718299</v>
      </c>
      <c r="N8">
        <v>1.931</v>
      </c>
      <c r="O8">
        <f>(Table1[[#This Row],[P]]&lt;&gt;0)*(Table1[[#This Row],[C]]&lt;&gt;0)</f>
        <v>0</v>
      </c>
      <c r="P8">
        <f>NETWORKDAYS(Table1[[#This Row],[ts_event]],Table1[[#This Row],[option_expiry_date]])</f>
        <v>5</v>
      </c>
      <c r="Q8">
        <f>Table1[[#This Row],[Column2]]/252</f>
        <v>1.984126984126984E-2</v>
      </c>
      <c r="R8" s="2" t="e">
        <f>IF(Table1[[#This Row],[CHECK2]]=0,NA(),
-(1/Table1[[#This Row],[T]])*LN((Table1[[#This Row],[S0]]-Table1[[#This Row],[C]]+Table1[[#This Row],[P]])/Table1[[#This Row],[K]])
)</f>
        <v>#N/A</v>
      </c>
    </row>
    <row r="9" spans="1:18">
      <c r="A9">
        <v>2</v>
      </c>
      <c r="B9" t="s">
        <v>10</v>
      </c>
      <c r="C9" s="1">
        <v>46132</v>
      </c>
      <c r="D9" t="s">
        <v>11</v>
      </c>
      <c r="E9">
        <v>39</v>
      </c>
      <c r="F9" t="s">
        <v>12</v>
      </c>
      <c r="G9" t="s">
        <v>13</v>
      </c>
      <c r="H9" s="1">
        <v>46136</v>
      </c>
      <c r="I9">
        <v>1.39720496894409</v>
      </c>
      <c r="J9">
        <v>0</v>
      </c>
      <c r="K9">
        <v>805</v>
      </c>
      <c r="L9">
        <v>0</v>
      </c>
      <c r="M9">
        <v>39.597742348718299</v>
      </c>
      <c r="N9">
        <v>1.931</v>
      </c>
      <c r="O9">
        <f>(Table1[[#This Row],[P]]&lt;&gt;0)*(Table1[[#This Row],[C]]&lt;&gt;0)</f>
        <v>0</v>
      </c>
      <c r="P9">
        <f>NETWORKDAYS(Table1[[#This Row],[ts_event]],Table1[[#This Row],[option_expiry_date]])</f>
        <v>5</v>
      </c>
      <c r="Q9">
        <f>Table1[[#This Row],[Column2]]/252</f>
        <v>1.984126984126984E-2</v>
      </c>
      <c r="R9" s="2" t="e">
        <f>IF(Table1[[#This Row],[CHECK2]]=0,NA(),
-(1/Table1[[#This Row],[T]])*LN((Table1[[#This Row],[S0]]-Table1[[#This Row],[C]]+Table1[[#This Row],[P]])/Table1[[#This Row],[K]])
)</f>
        <v>#N/A</v>
      </c>
    </row>
    <row r="10" spans="1:18">
      <c r="A10">
        <v>4</v>
      </c>
      <c r="B10" t="s">
        <v>10</v>
      </c>
      <c r="C10" s="1">
        <v>46132</v>
      </c>
      <c r="D10" t="s">
        <v>11</v>
      </c>
      <c r="E10">
        <v>40</v>
      </c>
      <c r="F10" t="s">
        <v>12</v>
      </c>
      <c r="G10" t="s">
        <v>13</v>
      </c>
      <c r="H10" s="1">
        <v>46136</v>
      </c>
      <c r="I10">
        <v>1.8156050955414</v>
      </c>
      <c r="J10">
        <v>1.89673913043478</v>
      </c>
      <c r="K10">
        <v>3140</v>
      </c>
      <c r="L10">
        <v>575</v>
      </c>
      <c r="M10">
        <v>39.597742348718299</v>
      </c>
      <c r="N10">
        <v>1.931</v>
      </c>
      <c r="O10">
        <f>(Table1[[#This Row],[P]]&lt;&gt;0)*(Table1[[#This Row],[C]]&lt;&gt;0)</f>
        <v>1</v>
      </c>
      <c r="P10">
        <f>NETWORKDAYS(Table1[[#This Row],[ts_event]],Table1[[#This Row],[option_expiry_date]])</f>
        <v>5</v>
      </c>
      <c r="Q10">
        <f>Table1[[#This Row],[Column2]]/252</f>
        <v>1.984126984126984E-2</v>
      </c>
      <c r="R10" s="2">
        <f>IF(Table1[[#This Row],[CHECK2]]=0,NA(),
-(1/Table1[[#This Row],[T]])*LN((Table1[[#This Row],[S0]]-Table1[[#This Row],[C]]+Table1[[#This Row],[P]])/Table1[[#This Row],[K]])
)</f>
        <v>0.61278370956379968</v>
      </c>
    </row>
    <row r="11" spans="1:18">
      <c r="A11">
        <v>1</v>
      </c>
      <c r="B11" t="s">
        <v>10</v>
      </c>
      <c r="C11" s="1">
        <v>46132</v>
      </c>
      <c r="D11" t="s">
        <v>11</v>
      </c>
      <c r="E11">
        <v>42</v>
      </c>
      <c r="F11" t="s">
        <v>12</v>
      </c>
      <c r="G11" t="s">
        <v>13</v>
      </c>
      <c r="H11" s="1">
        <v>46136</v>
      </c>
      <c r="I11">
        <v>0</v>
      </c>
      <c r="J11">
        <v>1.1000000000000001</v>
      </c>
      <c r="K11">
        <v>0</v>
      </c>
      <c r="L11">
        <v>350</v>
      </c>
      <c r="M11">
        <v>39.597742348718299</v>
      </c>
      <c r="N11">
        <v>1.931</v>
      </c>
      <c r="O11">
        <f>(Table1[[#This Row],[P]]&lt;&gt;0)*(Table1[[#This Row],[C]]&lt;&gt;0)</f>
        <v>0</v>
      </c>
      <c r="P11">
        <f>NETWORKDAYS(Table1[[#This Row],[ts_event]],Table1[[#This Row],[option_expiry_date]])</f>
        <v>5</v>
      </c>
      <c r="Q11">
        <f>Table1[[#This Row],[Column2]]/252</f>
        <v>1.984126984126984E-2</v>
      </c>
      <c r="R11" s="2" t="e">
        <f>IF(Table1[[#This Row],[CHECK2]]=0,NA(),
-(1/Table1[[#This Row],[T]])*LN((Table1[[#This Row],[S0]]-Table1[[#This Row],[C]]+Table1[[#This Row],[P]])/Table1[[#This Row],[K]])
)</f>
        <v>#N/A</v>
      </c>
    </row>
    <row r="12" spans="1:18">
      <c r="A12">
        <v>2</v>
      </c>
      <c r="B12" t="s">
        <v>10</v>
      </c>
      <c r="C12" s="1">
        <v>46132</v>
      </c>
      <c r="D12" t="s">
        <v>11</v>
      </c>
      <c r="E12">
        <v>43</v>
      </c>
      <c r="F12" t="s">
        <v>12</v>
      </c>
      <c r="G12" t="s">
        <v>13</v>
      </c>
      <c r="H12" s="1">
        <v>46136</v>
      </c>
      <c r="I12">
        <v>0</v>
      </c>
      <c r="J12">
        <v>1</v>
      </c>
      <c r="K12">
        <v>0</v>
      </c>
      <c r="L12">
        <v>475</v>
      </c>
      <c r="M12">
        <v>39.597742348718299</v>
      </c>
      <c r="N12">
        <v>1.931</v>
      </c>
      <c r="O12">
        <f>(Table1[[#This Row],[P]]&lt;&gt;0)*(Table1[[#This Row],[C]]&lt;&gt;0)</f>
        <v>0</v>
      </c>
      <c r="P12">
        <f>NETWORKDAYS(Table1[[#This Row],[ts_event]],Table1[[#This Row],[option_expiry_date]])</f>
        <v>5</v>
      </c>
      <c r="Q12">
        <f>Table1[[#This Row],[Column2]]/252</f>
        <v>1.984126984126984E-2</v>
      </c>
      <c r="R12" s="2" t="e">
        <f>IF(Table1[[#This Row],[CHECK2]]=0,NA(),
-(1/Table1[[#This Row],[T]])*LN((Table1[[#This Row],[S0]]-Table1[[#This Row],[C]]+Table1[[#This Row],[P]])/Table1[[#This Row],[K]])
)</f>
        <v>#N/A</v>
      </c>
    </row>
    <row r="13" spans="1:18">
      <c r="A13">
        <v>2</v>
      </c>
      <c r="B13" t="s">
        <v>10</v>
      </c>
      <c r="C13" s="1">
        <v>46132</v>
      </c>
      <c r="D13" t="s">
        <v>11</v>
      </c>
      <c r="E13">
        <v>44</v>
      </c>
      <c r="F13" t="s">
        <v>12</v>
      </c>
      <c r="G13" t="s">
        <v>13</v>
      </c>
      <c r="H13" s="1">
        <v>46136</v>
      </c>
      <c r="I13">
        <v>4.5</v>
      </c>
      <c r="J13">
        <v>0.79</v>
      </c>
      <c r="K13">
        <v>300</v>
      </c>
      <c r="L13">
        <v>200</v>
      </c>
      <c r="M13">
        <v>39.597742348718299</v>
      </c>
      <c r="N13">
        <v>1.931</v>
      </c>
      <c r="O13">
        <f>(Table1[[#This Row],[P]]&lt;&gt;0)*(Table1[[#This Row],[C]]&lt;&gt;0)</f>
        <v>1</v>
      </c>
      <c r="P13">
        <f>NETWORKDAYS(Table1[[#This Row],[ts_event]],Table1[[#This Row],[option_expiry_date]])</f>
        <v>5</v>
      </c>
      <c r="Q13">
        <f>Table1[[#This Row],[Column2]]/252</f>
        <v>1.984126984126984E-2</v>
      </c>
      <c r="R13" s="2">
        <f>IF(Table1[[#This Row],[CHECK2]]=0,NA(),
-(1/Table1[[#This Row],[T]])*LN((Table1[[#This Row],[S0]]-Table1[[#This Row],[C]]+Table1[[#This Row],[P]])/Table1[[#This Row],[K]])
)</f>
        <v>0.79925367131334335</v>
      </c>
    </row>
    <row r="14" spans="1:18">
      <c r="A14">
        <v>2</v>
      </c>
      <c r="B14" t="s">
        <v>10</v>
      </c>
      <c r="C14" s="1">
        <v>46132</v>
      </c>
      <c r="D14" t="s">
        <v>11</v>
      </c>
      <c r="E14">
        <v>45</v>
      </c>
      <c r="F14" t="s">
        <v>12</v>
      </c>
      <c r="G14" t="s">
        <v>13</v>
      </c>
      <c r="H14" s="1">
        <v>46136</v>
      </c>
      <c r="I14">
        <v>0</v>
      </c>
      <c r="J14">
        <v>0.74972027972027899</v>
      </c>
      <c r="K14">
        <v>0</v>
      </c>
      <c r="L14">
        <v>3575</v>
      </c>
      <c r="M14">
        <v>39.597742348718299</v>
      </c>
      <c r="N14">
        <v>1.931</v>
      </c>
      <c r="O14">
        <f>(Table1[[#This Row],[P]]&lt;&gt;0)*(Table1[[#This Row],[C]]&lt;&gt;0)</f>
        <v>0</v>
      </c>
      <c r="P14">
        <f>NETWORKDAYS(Table1[[#This Row],[ts_event]],Table1[[#This Row],[option_expiry_date]])</f>
        <v>5</v>
      </c>
      <c r="Q14">
        <f>Table1[[#This Row],[Column2]]/252</f>
        <v>1.984126984126984E-2</v>
      </c>
      <c r="R14" s="2" t="e">
        <f>IF(Table1[[#This Row],[CHECK2]]=0,NA(),
-(1/Table1[[#This Row],[T]])*LN((Table1[[#This Row],[S0]]-Table1[[#This Row],[C]]+Table1[[#This Row],[P]])/Table1[[#This Row],[K]])
)</f>
        <v>#N/A</v>
      </c>
    </row>
    <row r="15" spans="1:18">
      <c r="A15">
        <v>2</v>
      </c>
      <c r="B15" t="s">
        <v>10</v>
      </c>
      <c r="C15" s="1">
        <v>46132</v>
      </c>
      <c r="D15" t="s">
        <v>11</v>
      </c>
      <c r="E15">
        <v>46</v>
      </c>
      <c r="F15" t="s">
        <v>12</v>
      </c>
      <c r="G15" t="s">
        <v>13</v>
      </c>
      <c r="H15" s="1">
        <v>46136</v>
      </c>
      <c r="I15">
        <v>0</v>
      </c>
      <c r="J15">
        <v>0.59</v>
      </c>
      <c r="K15">
        <v>0</v>
      </c>
      <c r="L15">
        <v>100</v>
      </c>
      <c r="M15">
        <v>39.597742348718299</v>
      </c>
      <c r="N15">
        <v>1.931</v>
      </c>
      <c r="O15">
        <f>(Table1[[#This Row],[P]]&lt;&gt;0)*(Table1[[#This Row],[C]]&lt;&gt;0)</f>
        <v>0</v>
      </c>
      <c r="P15">
        <f>NETWORKDAYS(Table1[[#This Row],[ts_event]],Table1[[#This Row],[option_expiry_date]])</f>
        <v>5</v>
      </c>
      <c r="Q15">
        <f>Table1[[#This Row],[Column2]]/252</f>
        <v>1.984126984126984E-2</v>
      </c>
      <c r="R15" s="2" t="e">
        <f>IF(Table1[[#This Row],[CHECK2]]=0,NA(),
-(1/Table1[[#This Row],[T]])*LN((Table1[[#This Row],[S0]]-Table1[[#This Row],[C]]+Table1[[#This Row],[P]])/Table1[[#This Row],[K]])
)</f>
        <v>#N/A</v>
      </c>
    </row>
    <row r="16" spans="1:18">
      <c r="A16">
        <v>2</v>
      </c>
      <c r="B16" t="s">
        <v>10</v>
      </c>
      <c r="C16" s="1">
        <v>46132</v>
      </c>
      <c r="D16" t="s">
        <v>11</v>
      </c>
      <c r="E16">
        <v>48</v>
      </c>
      <c r="F16" t="s">
        <v>12</v>
      </c>
      <c r="G16" t="s">
        <v>13</v>
      </c>
      <c r="H16" s="1">
        <v>46136</v>
      </c>
      <c r="I16">
        <v>0</v>
      </c>
      <c r="J16">
        <v>0.46250000000000002</v>
      </c>
      <c r="K16">
        <v>0</v>
      </c>
      <c r="L16">
        <v>40</v>
      </c>
      <c r="M16">
        <v>39.597742348718299</v>
      </c>
      <c r="N16">
        <v>1.931</v>
      </c>
      <c r="O16">
        <f>(Table1[[#This Row],[P]]&lt;&gt;0)*(Table1[[#This Row],[C]]&lt;&gt;0)</f>
        <v>0</v>
      </c>
      <c r="P16">
        <f>NETWORKDAYS(Table1[[#This Row],[ts_event]],Table1[[#This Row],[option_expiry_date]])</f>
        <v>5</v>
      </c>
      <c r="Q16">
        <f>Table1[[#This Row],[Column2]]/252</f>
        <v>1.984126984126984E-2</v>
      </c>
      <c r="R16" s="2" t="e">
        <f>IF(Table1[[#This Row],[CHECK2]]=0,NA(),
-(1/Table1[[#This Row],[T]])*LN((Table1[[#This Row],[S0]]-Table1[[#This Row],[C]]+Table1[[#This Row],[P]])/Table1[[#This Row],[K]])
)</f>
        <v>#N/A</v>
      </c>
    </row>
    <row r="17" spans="1:18">
      <c r="A17">
        <v>3</v>
      </c>
      <c r="B17" t="s">
        <v>10</v>
      </c>
      <c r="C17" s="1">
        <v>46132</v>
      </c>
      <c r="D17" t="s">
        <v>11</v>
      </c>
      <c r="E17">
        <v>50</v>
      </c>
      <c r="F17" t="s">
        <v>12</v>
      </c>
      <c r="G17" t="s">
        <v>13</v>
      </c>
      <c r="H17" s="1">
        <v>46136</v>
      </c>
      <c r="I17">
        <v>9.6999999999999993</v>
      </c>
      <c r="J17">
        <v>0.33187995469988602</v>
      </c>
      <c r="K17">
        <v>500</v>
      </c>
      <c r="L17">
        <v>4415</v>
      </c>
      <c r="M17">
        <v>39.597742348718299</v>
      </c>
      <c r="N17">
        <v>1.931</v>
      </c>
      <c r="O17">
        <f>(Table1[[#This Row],[P]]&lt;&gt;0)*(Table1[[#This Row],[C]]&lt;&gt;0)</f>
        <v>1</v>
      </c>
      <c r="P17">
        <f>NETWORKDAYS(Table1[[#This Row],[ts_event]],Table1[[#This Row],[option_expiry_date]])</f>
        <v>5</v>
      </c>
      <c r="Q17">
        <f>Table1[[#This Row],[Column2]]/252</f>
        <v>1.984126984126984E-2</v>
      </c>
      <c r="R17" s="2">
        <f>IF(Table1[[#This Row],[CHECK2]]=0,NA(),
-(1/Table1[[#This Row],[T]])*LN((Table1[[#This Row],[S0]]-Table1[[#This Row],[C]]+Table1[[#This Row],[P]])/Table1[[#This Row],[K]])
)</f>
        <v>1.0533416519924719</v>
      </c>
    </row>
    <row r="18" spans="1:18">
      <c r="A18">
        <v>1</v>
      </c>
      <c r="B18" t="s">
        <v>10</v>
      </c>
      <c r="C18" s="1">
        <v>46132</v>
      </c>
      <c r="D18" t="s">
        <v>11</v>
      </c>
      <c r="E18">
        <v>55</v>
      </c>
      <c r="F18" t="s">
        <v>12</v>
      </c>
      <c r="G18" t="s">
        <v>13</v>
      </c>
      <c r="H18" s="1">
        <v>46136</v>
      </c>
      <c r="I18">
        <v>0</v>
      </c>
      <c r="J18">
        <v>0.14000000000000001</v>
      </c>
      <c r="K18">
        <v>0</v>
      </c>
      <c r="L18">
        <v>100</v>
      </c>
      <c r="M18">
        <v>39.597742348718299</v>
      </c>
      <c r="N18">
        <v>1.931</v>
      </c>
      <c r="O18">
        <f>(Table1[[#This Row],[P]]&lt;&gt;0)*(Table1[[#This Row],[C]]&lt;&gt;0)</f>
        <v>0</v>
      </c>
      <c r="P18">
        <f>NETWORKDAYS(Table1[[#This Row],[ts_event]],Table1[[#This Row],[option_expiry_date]])</f>
        <v>5</v>
      </c>
      <c r="Q18">
        <f>Table1[[#This Row],[Column2]]/252</f>
        <v>1.984126984126984E-2</v>
      </c>
      <c r="R18" s="2" t="e">
        <f>IF(Table1[[#This Row],[CHECK2]]=0,NA(),
-(1/Table1[[#This Row],[T]])*LN((Table1[[#This Row],[S0]]-Table1[[#This Row],[C]]+Table1[[#This Row],[P]])/Table1[[#This Row],[K]])
)</f>
        <v>#N/A</v>
      </c>
    </row>
    <row r="19" spans="1:18">
      <c r="A19">
        <v>1</v>
      </c>
      <c r="B19" t="s">
        <v>10</v>
      </c>
      <c r="C19" s="1">
        <v>46132</v>
      </c>
      <c r="D19" t="s">
        <v>11</v>
      </c>
      <c r="E19">
        <v>60</v>
      </c>
      <c r="F19" t="s">
        <v>12</v>
      </c>
      <c r="G19" t="s">
        <v>13</v>
      </c>
      <c r="H19" s="1">
        <v>46136</v>
      </c>
      <c r="I19">
        <v>0</v>
      </c>
      <c r="J19">
        <v>0.12</v>
      </c>
      <c r="K19">
        <v>0</v>
      </c>
      <c r="L19">
        <v>1600</v>
      </c>
      <c r="M19">
        <v>39.597742348718299</v>
      </c>
      <c r="N19">
        <v>1.931</v>
      </c>
      <c r="O19">
        <f>(Table1[[#This Row],[P]]&lt;&gt;0)*(Table1[[#This Row],[C]]&lt;&gt;0)</f>
        <v>0</v>
      </c>
      <c r="P19">
        <f>NETWORKDAYS(Table1[[#This Row],[ts_event]],Table1[[#This Row],[option_expiry_date]])</f>
        <v>5</v>
      </c>
      <c r="Q19">
        <f>Table1[[#This Row],[Column2]]/252</f>
        <v>1.984126984126984E-2</v>
      </c>
      <c r="R19" s="2" t="e">
        <f>IF(Table1[[#This Row],[CHECK2]]=0,NA(),
-(1/Table1[[#This Row],[T]])*LN((Table1[[#This Row],[S0]]-Table1[[#This Row],[C]]+Table1[[#This Row],[P]])/Table1[[#This Row],[K]])
)</f>
        <v>#N/A</v>
      </c>
    </row>
    <row r="20" spans="1:18">
      <c r="A20">
        <v>1</v>
      </c>
      <c r="B20" t="s">
        <v>10</v>
      </c>
      <c r="C20" s="1">
        <v>46132</v>
      </c>
      <c r="D20" t="s">
        <v>11</v>
      </c>
      <c r="E20">
        <v>65</v>
      </c>
      <c r="F20" t="s">
        <v>12</v>
      </c>
      <c r="G20" t="s">
        <v>13</v>
      </c>
      <c r="H20" s="1">
        <v>46136</v>
      </c>
      <c r="I20">
        <v>0</v>
      </c>
      <c r="J20">
        <v>7.4999999999999997E-2</v>
      </c>
      <c r="K20">
        <v>0</v>
      </c>
      <c r="L20">
        <v>500</v>
      </c>
      <c r="M20">
        <v>39.597742348718299</v>
      </c>
      <c r="N20">
        <v>1.931</v>
      </c>
      <c r="O20">
        <f>(Table1[[#This Row],[P]]&lt;&gt;0)*(Table1[[#This Row],[C]]&lt;&gt;0)</f>
        <v>0</v>
      </c>
      <c r="P20">
        <f>NETWORKDAYS(Table1[[#This Row],[ts_event]],Table1[[#This Row],[option_expiry_date]])</f>
        <v>5</v>
      </c>
      <c r="Q20">
        <f>Table1[[#This Row],[Column2]]/252</f>
        <v>1.984126984126984E-2</v>
      </c>
      <c r="R20" s="2" t="e">
        <f>IF(Table1[[#This Row],[CHECK2]]=0,NA(),
-(1/Table1[[#This Row],[T]])*LN((Table1[[#This Row],[S0]]-Table1[[#This Row],[C]]+Table1[[#This Row],[P]])/Table1[[#This Row],[K]])
)</f>
        <v>#N/A</v>
      </c>
    </row>
    <row r="21" spans="1:18">
      <c r="A21">
        <v>1</v>
      </c>
      <c r="B21" t="s">
        <v>10</v>
      </c>
      <c r="C21" s="1">
        <v>46132</v>
      </c>
      <c r="D21" t="s">
        <v>11</v>
      </c>
      <c r="E21">
        <v>70</v>
      </c>
      <c r="F21" t="s">
        <v>12</v>
      </c>
      <c r="G21" t="s">
        <v>13</v>
      </c>
      <c r="H21" s="1">
        <v>46136</v>
      </c>
      <c r="I21">
        <v>0</v>
      </c>
      <c r="J21">
        <v>0.06</v>
      </c>
      <c r="K21">
        <v>0</v>
      </c>
      <c r="L21">
        <v>750</v>
      </c>
      <c r="M21">
        <v>39.597742348718299</v>
      </c>
      <c r="N21">
        <v>1.931</v>
      </c>
      <c r="O21">
        <f>(Table1[[#This Row],[P]]&lt;&gt;0)*(Table1[[#This Row],[C]]&lt;&gt;0)</f>
        <v>0</v>
      </c>
      <c r="P21">
        <f>NETWORKDAYS(Table1[[#This Row],[ts_event]],Table1[[#This Row],[option_expiry_date]])</f>
        <v>5</v>
      </c>
      <c r="Q21">
        <f>Table1[[#This Row],[Column2]]/252</f>
        <v>1.984126984126984E-2</v>
      </c>
      <c r="R21" s="2" t="e">
        <f>IF(Table1[[#This Row],[CHECK2]]=0,NA(),
-(1/Table1[[#This Row],[T]])*LN((Table1[[#This Row],[S0]]-Table1[[#This Row],[C]]+Table1[[#This Row],[P]])/Table1[[#This Row],[K]])
)</f>
        <v>#N/A</v>
      </c>
    </row>
    <row r="22" spans="1:18">
      <c r="A22">
        <v>1</v>
      </c>
      <c r="B22" t="s">
        <v>10</v>
      </c>
      <c r="C22" s="1">
        <v>46132</v>
      </c>
      <c r="D22" t="s">
        <v>14</v>
      </c>
      <c r="E22">
        <v>30</v>
      </c>
      <c r="F22" t="s">
        <v>12</v>
      </c>
      <c r="G22" t="s">
        <v>13</v>
      </c>
      <c r="H22" s="1">
        <v>46169</v>
      </c>
      <c r="I22">
        <v>0.375</v>
      </c>
      <c r="J22">
        <v>0</v>
      </c>
      <c r="K22">
        <v>300</v>
      </c>
      <c r="L22">
        <v>0</v>
      </c>
      <c r="M22">
        <v>39.586574000063898</v>
      </c>
      <c r="N22">
        <v>1.931</v>
      </c>
      <c r="O22">
        <f>(Table1[[#This Row],[P]]&lt;&gt;0)*(Table1[[#This Row],[C]]&lt;&gt;0)</f>
        <v>0</v>
      </c>
      <c r="P22">
        <f>NETWORKDAYS(Table1[[#This Row],[ts_event]],Table1[[#This Row],[option_expiry_date]])</f>
        <v>28</v>
      </c>
      <c r="Q22">
        <f>Table1[[#This Row],[Column2]]/252</f>
        <v>0.1111111111111111</v>
      </c>
      <c r="R22" s="2" t="e">
        <f>IF(Table1[[#This Row],[CHECK2]]=0,NA(),
-(1/Table1[[#This Row],[T]])*LN((Table1[[#This Row],[S0]]-Table1[[#This Row],[C]]+Table1[[#This Row],[P]])/Table1[[#This Row],[K]])
)</f>
        <v>#N/A</v>
      </c>
    </row>
    <row r="23" spans="1:18">
      <c r="A23">
        <v>1</v>
      </c>
      <c r="B23" t="s">
        <v>10</v>
      </c>
      <c r="C23" s="1">
        <v>46132</v>
      </c>
      <c r="D23" t="s">
        <v>14</v>
      </c>
      <c r="E23">
        <v>31</v>
      </c>
      <c r="F23" t="s">
        <v>12</v>
      </c>
      <c r="G23" t="s">
        <v>13</v>
      </c>
      <c r="H23" s="1">
        <v>46169</v>
      </c>
      <c r="I23">
        <v>0.55000000000000004</v>
      </c>
      <c r="J23">
        <v>0</v>
      </c>
      <c r="K23">
        <v>20</v>
      </c>
      <c r="L23">
        <v>0</v>
      </c>
      <c r="M23">
        <v>39.586574000063898</v>
      </c>
      <c r="N23">
        <v>1.931</v>
      </c>
      <c r="O23">
        <f>(Table1[[#This Row],[P]]&lt;&gt;0)*(Table1[[#This Row],[C]]&lt;&gt;0)</f>
        <v>0</v>
      </c>
      <c r="P23">
        <f>NETWORKDAYS(Table1[[#This Row],[ts_event]],Table1[[#This Row],[option_expiry_date]])</f>
        <v>28</v>
      </c>
      <c r="Q23">
        <f>Table1[[#This Row],[Column2]]/252</f>
        <v>0.1111111111111111</v>
      </c>
      <c r="R23" s="2" t="e">
        <f>IF(Table1[[#This Row],[CHECK2]]=0,NA(),
-(1/Table1[[#This Row],[T]])*LN((Table1[[#This Row],[S0]]-Table1[[#This Row],[C]]+Table1[[#This Row],[P]])/Table1[[#This Row],[K]])
)</f>
        <v>#N/A</v>
      </c>
    </row>
    <row r="24" spans="1:18">
      <c r="A24">
        <v>1</v>
      </c>
      <c r="B24" t="s">
        <v>10</v>
      </c>
      <c r="C24" s="1">
        <v>46132</v>
      </c>
      <c r="D24" t="s">
        <v>14</v>
      </c>
      <c r="E24">
        <v>32.5</v>
      </c>
      <c r="F24" t="s">
        <v>12</v>
      </c>
      <c r="G24" t="s">
        <v>13</v>
      </c>
      <c r="H24" s="1">
        <v>46169</v>
      </c>
      <c r="I24">
        <v>0.77</v>
      </c>
      <c r="J24">
        <v>0</v>
      </c>
      <c r="K24">
        <v>10</v>
      </c>
      <c r="L24">
        <v>0</v>
      </c>
      <c r="M24">
        <v>39.586574000063898</v>
      </c>
      <c r="N24">
        <v>1.931</v>
      </c>
      <c r="O24">
        <f>(Table1[[#This Row],[P]]&lt;&gt;0)*(Table1[[#This Row],[C]]&lt;&gt;0)</f>
        <v>0</v>
      </c>
      <c r="P24">
        <f>NETWORKDAYS(Table1[[#This Row],[ts_event]],Table1[[#This Row],[option_expiry_date]])</f>
        <v>28</v>
      </c>
      <c r="Q24">
        <f>Table1[[#This Row],[Column2]]/252</f>
        <v>0.1111111111111111</v>
      </c>
      <c r="R24" s="2" t="e">
        <f>IF(Table1[[#This Row],[CHECK2]]=0,NA(),
-(1/Table1[[#This Row],[T]])*LN((Table1[[#This Row],[S0]]-Table1[[#This Row],[C]]+Table1[[#This Row],[P]])/Table1[[#This Row],[K]])
)</f>
        <v>#N/A</v>
      </c>
    </row>
    <row r="25" spans="1:18">
      <c r="A25">
        <v>1</v>
      </c>
      <c r="B25" t="s">
        <v>10</v>
      </c>
      <c r="C25" s="1">
        <v>46132</v>
      </c>
      <c r="D25" t="s">
        <v>14</v>
      </c>
      <c r="E25">
        <v>34</v>
      </c>
      <c r="F25" t="s">
        <v>12</v>
      </c>
      <c r="G25" t="s">
        <v>13</v>
      </c>
      <c r="H25" s="1">
        <v>46169</v>
      </c>
      <c r="I25">
        <v>1.1499999999999999</v>
      </c>
      <c r="J25">
        <v>0</v>
      </c>
      <c r="K25">
        <v>200</v>
      </c>
      <c r="L25">
        <v>0</v>
      </c>
      <c r="M25">
        <v>39.586574000063898</v>
      </c>
      <c r="N25">
        <v>1.931</v>
      </c>
      <c r="O25">
        <f>(Table1[[#This Row],[P]]&lt;&gt;0)*(Table1[[#This Row],[C]]&lt;&gt;0)</f>
        <v>0</v>
      </c>
      <c r="P25">
        <f>NETWORKDAYS(Table1[[#This Row],[ts_event]],Table1[[#This Row],[option_expiry_date]])</f>
        <v>28</v>
      </c>
      <c r="Q25">
        <f>Table1[[#This Row],[Column2]]/252</f>
        <v>0.1111111111111111</v>
      </c>
      <c r="R25" s="2" t="e">
        <f>IF(Table1[[#This Row],[CHECK2]]=0,NA(),
-(1/Table1[[#This Row],[T]])*LN((Table1[[#This Row],[S0]]-Table1[[#This Row],[C]]+Table1[[#This Row],[P]])/Table1[[#This Row],[K]])
)</f>
        <v>#N/A</v>
      </c>
    </row>
    <row r="26" spans="1:18">
      <c r="A26">
        <v>1</v>
      </c>
      <c r="B26" t="s">
        <v>10</v>
      </c>
      <c r="C26" s="1">
        <v>46132</v>
      </c>
      <c r="D26" t="s">
        <v>14</v>
      </c>
      <c r="E26">
        <v>34.5</v>
      </c>
      <c r="F26" t="s">
        <v>12</v>
      </c>
      <c r="G26" t="s">
        <v>13</v>
      </c>
      <c r="H26" s="1">
        <v>46169</v>
      </c>
      <c r="I26">
        <v>1.345</v>
      </c>
      <c r="J26">
        <v>0</v>
      </c>
      <c r="K26">
        <v>5</v>
      </c>
      <c r="L26">
        <v>0</v>
      </c>
      <c r="M26">
        <v>39.586574000063898</v>
      </c>
      <c r="N26">
        <v>1.931</v>
      </c>
      <c r="O26">
        <f>(Table1[[#This Row],[P]]&lt;&gt;0)*(Table1[[#This Row],[C]]&lt;&gt;0)</f>
        <v>0</v>
      </c>
      <c r="P26">
        <f>NETWORKDAYS(Table1[[#This Row],[ts_event]],Table1[[#This Row],[option_expiry_date]])</f>
        <v>28</v>
      </c>
      <c r="Q26">
        <f>Table1[[#This Row],[Column2]]/252</f>
        <v>0.1111111111111111</v>
      </c>
      <c r="R26" s="2" t="e">
        <f>IF(Table1[[#This Row],[CHECK2]]=0,NA(),
-(1/Table1[[#This Row],[T]])*LN((Table1[[#This Row],[S0]]-Table1[[#This Row],[C]]+Table1[[#This Row],[P]])/Table1[[#This Row],[K]])
)</f>
        <v>#N/A</v>
      </c>
    </row>
    <row r="27" spans="1:18">
      <c r="A27">
        <v>2</v>
      </c>
      <c r="B27" t="s">
        <v>10</v>
      </c>
      <c r="C27" s="1">
        <v>46132</v>
      </c>
      <c r="D27" t="s">
        <v>14</v>
      </c>
      <c r="E27">
        <v>35</v>
      </c>
      <c r="F27" t="s">
        <v>12</v>
      </c>
      <c r="G27" t="s">
        <v>13</v>
      </c>
      <c r="H27" s="1">
        <v>46169</v>
      </c>
      <c r="I27">
        <v>1.5995220588235199</v>
      </c>
      <c r="J27">
        <v>0</v>
      </c>
      <c r="K27">
        <v>1360</v>
      </c>
      <c r="L27">
        <v>0</v>
      </c>
      <c r="M27">
        <v>39.586574000063898</v>
      </c>
      <c r="N27">
        <v>1.931</v>
      </c>
      <c r="O27">
        <f>(Table1[[#This Row],[P]]&lt;&gt;0)*(Table1[[#This Row],[C]]&lt;&gt;0)</f>
        <v>0</v>
      </c>
      <c r="P27">
        <f>NETWORKDAYS(Table1[[#This Row],[ts_event]],Table1[[#This Row],[option_expiry_date]])</f>
        <v>28</v>
      </c>
      <c r="Q27">
        <f>Table1[[#This Row],[Column2]]/252</f>
        <v>0.1111111111111111</v>
      </c>
      <c r="R27" s="2" t="e">
        <f>IF(Table1[[#This Row],[CHECK2]]=0,NA(),
-(1/Table1[[#This Row],[T]])*LN((Table1[[#This Row],[S0]]-Table1[[#This Row],[C]]+Table1[[#This Row],[P]])/Table1[[#This Row],[K]])
)</f>
        <v>#N/A</v>
      </c>
    </row>
    <row r="28" spans="1:18">
      <c r="A28">
        <v>1</v>
      </c>
      <c r="B28" t="s">
        <v>10</v>
      </c>
      <c r="C28" s="1">
        <v>46132</v>
      </c>
      <c r="D28" t="s">
        <v>14</v>
      </c>
      <c r="E28">
        <v>37</v>
      </c>
      <c r="F28" t="s">
        <v>12</v>
      </c>
      <c r="G28" t="s">
        <v>13</v>
      </c>
      <c r="H28" s="1">
        <v>46169</v>
      </c>
      <c r="I28">
        <v>2.88</v>
      </c>
      <c r="J28">
        <v>0</v>
      </c>
      <c r="K28">
        <v>1000</v>
      </c>
      <c r="L28">
        <v>0</v>
      </c>
      <c r="M28">
        <v>39.586574000063898</v>
      </c>
      <c r="N28">
        <v>1.931</v>
      </c>
      <c r="O28">
        <f>(Table1[[#This Row],[P]]&lt;&gt;0)*(Table1[[#This Row],[C]]&lt;&gt;0)</f>
        <v>0</v>
      </c>
      <c r="P28">
        <f>NETWORKDAYS(Table1[[#This Row],[ts_event]],Table1[[#This Row],[option_expiry_date]])</f>
        <v>28</v>
      </c>
      <c r="Q28">
        <f>Table1[[#This Row],[Column2]]/252</f>
        <v>0.1111111111111111</v>
      </c>
      <c r="R28" s="2" t="e">
        <f>IF(Table1[[#This Row],[CHECK2]]=0,NA(),
-(1/Table1[[#This Row],[T]])*LN((Table1[[#This Row],[S0]]-Table1[[#This Row],[C]]+Table1[[#This Row],[P]])/Table1[[#This Row],[K]])
)</f>
        <v>#N/A</v>
      </c>
    </row>
    <row r="29" spans="1:18">
      <c r="A29">
        <v>1</v>
      </c>
      <c r="B29" t="s">
        <v>10</v>
      </c>
      <c r="C29" s="1">
        <v>46132</v>
      </c>
      <c r="D29" t="s">
        <v>14</v>
      </c>
      <c r="E29">
        <v>38</v>
      </c>
      <c r="F29" t="s">
        <v>12</v>
      </c>
      <c r="G29" t="s">
        <v>13</v>
      </c>
      <c r="H29" s="1">
        <v>46169</v>
      </c>
      <c r="I29">
        <v>2.7250000000000001</v>
      </c>
      <c r="J29">
        <v>0</v>
      </c>
      <c r="K29">
        <v>30</v>
      </c>
      <c r="L29">
        <v>0</v>
      </c>
      <c r="M29">
        <v>39.586574000063898</v>
      </c>
      <c r="N29">
        <v>1.931</v>
      </c>
      <c r="O29">
        <f>(Table1[[#This Row],[P]]&lt;&gt;0)*(Table1[[#This Row],[C]]&lt;&gt;0)</f>
        <v>0</v>
      </c>
      <c r="P29">
        <f>NETWORKDAYS(Table1[[#This Row],[ts_event]],Table1[[#This Row],[option_expiry_date]])</f>
        <v>28</v>
      </c>
      <c r="Q29">
        <f>Table1[[#This Row],[Column2]]/252</f>
        <v>0.1111111111111111</v>
      </c>
      <c r="R29" s="2" t="e">
        <f>IF(Table1[[#This Row],[CHECK2]]=0,NA(),
-(1/Table1[[#This Row],[T]])*LN((Table1[[#This Row],[S0]]-Table1[[#This Row],[C]]+Table1[[#This Row],[P]])/Table1[[#This Row],[K]])
)</f>
        <v>#N/A</v>
      </c>
    </row>
    <row r="30" spans="1:18">
      <c r="A30">
        <v>1</v>
      </c>
      <c r="B30" t="s">
        <v>10</v>
      </c>
      <c r="C30" s="1">
        <v>46132</v>
      </c>
      <c r="D30" t="s">
        <v>14</v>
      </c>
      <c r="E30">
        <v>39</v>
      </c>
      <c r="F30" t="s">
        <v>12</v>
      </c>
      <c r="G30" t="s">
        <v>13</v>
      </c>
      <c r="H30" s="1">
        <v>46169</v>
      </c>
      <c r="I30">
        <v>3.35</v>
      </c>
      <c r="J30">
        <v>0</v>
      </c>
      <c r="K30">
        <v>100</v>
      </c>
      <c r="L30">
        <v>0</v>
      </c>
      <c r="M30">
        <v>39.586574000063898</v>
      </c>
      <c r="N30">
        <v>1.931</v>
      </c>
      <c r="O30">
        <f>(Table1[[#This Row],[P]]&lt;&gt;0)*(Table1[[#This Row],[C]]&lt;&gt;0)</f>
        <v>0</v>
      </c>
      <c r="P30">
        <f>NETWORKDAYS(Table1[[#This Row],[ts_event]],Table1[[#This Row],[option_expiry_date]])</f>
        <v>28</v>
      </c>
      <c r="Q30">
        <f>Table1[[#This Row],[Column2]]/252</f>
        <v>0.1111111111111111</v>
      </c>
      <c r="R30" s="2" t="e">
        <f>IF(Table1[[#This Row],[CHECK2]]=0,NA(),
-(1/Table1[[#This Row],[T]])*LN((Table1[[#This Row],[S0]]-Table1[[#This Row],[C]]+Table1[[#This Row],[P]])/Table1[[#This Row],[K]])
)</f>
        <v>#N/A</v>
      </c>
    </row>
    <row r="31" spans="1:18">
      <c r="A31">
        <v>2</v>
      </c>
      <c r="B31" t="s">
        <v>10</v>
      </c>
      <c r="C31" s="1">
        <v>46132</v>
      </c>
      <c r="D31" t="s">
        <v>14</v>
      </c>
      <c r="E31">
        <v>40</v>
      </c>
      <c r="F31" t="s">
        <v>12</v>
      </c>
      <c r="G31" t="s">
        <v>13</v>
      </c>
      <c r="H31" s="1">
        <v>46169</v>
      </c>
      <c r="I31">
        <v>3.93</v>
      </c>
      <c r="J31">
        <v>4.0199999999999996</v>
      </c>
      <c r="K31">
        <v>825</v>
      </c>
      <c r="L31">
        <v>2750</v>
      </c>
      <c r="M31">
        <v>39.586574000063898</v>
      </c>
      <c r="N31">
        <v>1.931</v>
      </c>
      <c r="O31">
        <f>(Table1[[#This Row],[P]]&lt;&gt;0)*(Table1[[#This Row],[C]]&lt;&gt;0)</f>
        <v>1</v>
      </c>
      <c r="P31">
        <f>NETWORKDAYS(Table1[[#This Row],[ts_event]],Table1[[#This Row],[option_expiry_date]])</f>
        <v>28</v>
      </c>
      <c r="Q31">
        <f>Table1[[#This Row],[Column2]]/252</f>
        <v>0.1111111111111111</v>
      </c>
      <c r="R31" s="2">
        <f>IF(Table1[[#This Row],[CHECK2]]=0,NA(),
-(1/Table1[[#This Row],[T]])*LN((Table1[[#This Row],[S0]]-Table1[[#This Row],[C]]+Table1[[#This Row],[P]])/Table1[[#This Row],[K]])
)</f>
        <v>0.11398968129675438</v>
      </c>
    </row>
    <row r="32" spans="1:18">
      <c r="A32">
        <v>1</v>
      </c>
      <c r="B32" t="s">
        <v>10</v>
      </c>
      <c r="C32" s="1">
        <v>46132</v>
      </c>
      <c r="D32" t="s">
        <v>14</v>
      </c>
      <c r="E32">
        <v>43</v>
      </c>
      <c r="F32" t="s">
        <v>12</v>
      </c>
      <c r="G32" t="s">
        <v>13</v>
      </c>
      <c r="H32" s="1">
        <v>46169</v>
      </c>
      <c r="I32">
        <v>0</v>
      </c>
      <c r="J32">
        <v>2.67</v>
      </c>
      <c r="K32">
        <v>0</v>
      </c>
      <c r="L32">
        <v>1000</v>
      </c>
      <c r="M32">
        <v>39.586574000063898</v>
      </c>
      <c r="N32">
        <v>1.931</v>
      </c>
      <c r="O32">
        <f>(Table1[[#This Row],[P]]&lt;&gt;0)*(Table1[[#This Row],[C]]&lt;&gt;0)</f>
        <v>0</v>
      </c>
      <c r="P32">
        <f>NETWORKDAYS(Table1[[#This Row],[ts_event]],Table1[[#This Row],[option_expiry_date]])</f>
        <v>28</v>
      </c>
      <c r="Q32">
        <f>Table1[[#This Row],[Column2]]/252</f>
        <v>0.1111111111111111</v>
      </c>
      <c r="R32" s="2" t="e">
        <f>IF(Table1[[#This Row],[CHECK2]]=0,NA(),
-(1/Table1[[#This Row],[T]])*LN((Table1[[#This Row],[S0]]-Table1[[#This Row],[C]]+Table1[[#This Row],[P]])/Table1[[#This Row],[K]])
)</f>
        <v>#N/A</v>
      </c>
    </row>
    <row r="33" spans="1:18">
      <c r="A33">
        <v>1</v>
      </c>
      <c r="B33" t="s">
        <v>10</v>
      </c>
      <c r="C33" s="1">
        <v>46132</v>
      </c>
      <c r="D33" t="s">
        <v>14</v>
      </c>
      <c r="E33">
        <v>45</v>
      </c>
      <c r="F33" t="s">
        <v>12</v>
      </c>
      <c r="G33" t="s">
        <v>13</v>
      </c>
      <c r="H33" s="1">
        <v>46169</v>
      </c>
      <c r="I33">
        <v>0</v>
      </c>
      <c r="J33">
        <v>2.7</v>
      </c>
      <c r="K33">
        <v>0</v>
      </c>
      <c r="L33">
        <v>2375</v>
      </c>
      <c r="M33">
        <v>39.586574000063898</v>
      </c>
      <c r="N33">
        <v>1.931</v>
      </c>
      <c r="O33">
        <f>(Table1[[#This Row],[P]]&lt;&gt;0)*(Table1[[#This Row],[C]]&lt;&gt;0)</f>
        <v>0</v>
      </c>
      <c r="P33">
        <f>NETWORKDAYS(Table1[[#This Row],[ts_event]],Table1[[#This Row],[option_expiry_date]])</f>
        <v>28</v>
      </c>
      <c r="Q33">
        <f>Table1[[#This Row],[Column2]]/252</f>
        <v>0.1111111111111111</v>
      </c>
      <c r="R33" s="2" t="e">
        <f>IF(Table1[[#This Row],[CHECK2]]=0,NA(),
-(1/Table1[[#This Row],[T]])*LN((Table1[[#This Row],[S0]]-Table1[[#This Row],[C]]+Table1[[#This Row],[P]])/Table1[[#This Row],[K]])
)</f>
        <v>#N/A</v>
      </c>
    </row>
    <row r="34" spans="1:18">
      <c r="A34">
        <v>2</v>
      </c>
      <c r="B34" t="s">
        <v>10</v>
      </c>
      <c r="C34" s="1">
        <v>46132</v>
      </c>
      <c r="D34" t="s">
        <v>14</v>
      </c>
      <c r="E34">
        <v>50</v>
      </c>
      <c r="F34" t="s">
        <v>12</v>
      </c>
      <c r="G34" t="s">
        <v>13</v>
      </c>
      <c r="H34" s="1">
        <v>46169</v>
      </c>
      <c r="I34">
        <v>0</v>
      </c>
      <c r="J34">
        <v>1.8796052631578899</v>
      </c>
      <c r="K34">
        <v>0</v>
      </c>
      <c r="L34">
        <v>1900</v>
      </c>
      <c r="M34">
        <v>39.586574000063898</v>
      </c>
      <c r="N34">
        <v>1.931</v>
      </c>
      <c r="O34">
        <f>(Table1[[#This Row],[P]]&lt;&gt;0)*(Table1[[#This Row],[C]]&lt;&gt;0)</f>
        <v>0</v>
      </c>
      <c r="P34">
        <f>NETWORKDAYS(Table1[[#This Row],[ts_event]],Table1[[#This Row],[option_expiry_date]])</f>
        <v>28</v>
      </c>
      <c r="Q34">
        <f>Table1[[#This Row],[Column2]]/252</f>
        <v>0.1111111111111111</v>
      </c>
      <c r="R34" s="2" t="e">
        <f>IF(Table1[[#This Row],[CHECK2]]=0,NA(),
-(1/Table1[[#This Row],[T]])*LN((Table1[[#This Row],[S0]]-Table1[[#This Row],[C]]+Table1[[#This Row],[P]])/Table1[[#This Row],[K]])
)</f>
        <v>#N/A</v>
      </c>
    </row>
    <row r="35" spans="1:18">
      <c r="A35">
        <v>1</v>
      </c>
      <c r="B35" t="s">
        <v>10</v>
      </c>
      <c r="C35" s="1">
        <v>46132</v>
      </c>
      <c r="D35" t="s">
        <v>14</v>
      </c>
      <c r="E35">
        <v>55</v>
      </c>
      <c r="F35" t="s">
        <v>12</v>
      </c>
      <c r="G35" t="s">
        <v>13</v>
      </c>
      <c r="H35" s="1">
        <v>46169</v>
      </c>
      <c r="I35">
        <v>0</v>
      </c>
      <c r="J35">
        <v>1.22</v>
      </c>
      <c r="K35">
        <v>0</v>
      </c>
      <c r="L35">
        <v>1000</v>
      </c>
      <c r="M35">
        <v>39.586574000063898</v>
      </c>
      <c r="N35">
        <v>1.931</v>
      </c>
      <c r="O35">
        <f>(Table1[[#This Row],[P]]&lt;&gt;0)*(Table1[[#This Row],[C]]&lt;&gt;0)</f>
        <v>0</v>
      </c>
      <c r="P35">
        <f>NETWORKDAYS(Table1[[#This Row],[ts_event]],Table1[[#This Row],[option_expiry_date]])</f>
        <v>28</v>
      </c>
      <c r="Q35">
        <f>Table1[[#This Row],[Column2]]/252</f>
        <v>0.1111111111111111</v>
      </c>
      <c r="R35" s="2" t="e">
        <f>IF(Table1[[#This Row],[CHECK2]]=0,NA(),
-(1/Table1[[#This Row],[T]])*LN((Table1[[#This Row],[S0]]-Table1[[#This Row],[C]]+Table1[[#This Row],[P]])/Table1[[#This Row],[K]])
)</f>
        <v>#N/A</v>
      </c>
    </row>
    <row r="36" spans="1:18">
      <c r="A36">
        <v>2</v>
      </c>
      <c r="B36" t="s">
        <v>10</v>
      </c>
      <c r="C36" s="1">
        <v>46132</v>
      </c>
      <c r="D36" t="s">
        <v>14</v>
      </c>
      <c r="E36">
        <v>60</v>
      </c>
      <c r="F36" t="s">
        <v>12</v>
      </c>
      <c r="G36" t="s">
        <v>13</v>
      </c>
      <c r="H36" s="1">
        <v>46169</v>
      </c>
      <c r="I36">
        <v>0</v>
      </c>
      <c r="J36">
        <v>0.95209677419354799</v>
      </c>
      <c r="K36">
        <v>0</v>
      </c>
      <c r="L36">
        <v>620</v>
      </c>
      <c r="M36">
        <v>39.586574000063898</v>
      </c>
      <c r="N36">
        <v>1.931</v>
      </c>
      <c r="O36">
        <f>(Table1[[#This Row],[P]]&lt;&gt;0)*(Table1[[#This Row],[C]]&lt;&gt;0)</f>
        <v>0</v>
      </c>
      <c r="P36">
        <f>NETWORKDAYS(Table1[[#This Row],[ts_event]],Table1[[#This Row],[option_expiry_date]])</f>
        <v>28</v>
      </c>
      <c r="Q36">
        <f>Table1[[#This Row],[Column2]]/252</f>
        <v>0.1111111111111111</v>
      </c>
      <c r="R36" s="2" t="e">
        <f>IF(Table1[[#This Row],[CHECK2]]=0,NA(),
-(1/Table1[[#This Row],[T]])*LN((Table1[[#This Row],[S0]]-Table1[[#This Row],[C]]+Table1[[#This Row],[P]])/Table1[[#This Row],[K]])
)</f>
        <v>#N/A</v>
      </c>
    </row>
    <row r="37" spans="1:18">
      <c r="A37">
        <v>1</v>
      </c>
      <c r="B37" t="s">
        <v>10</v>
      </c>
      <c r="C37" s="1">
        <v>46132</v>
      </c>
      <c r="D37" t="s">
        <v>14</v>
      </c>
      <c r="E37">
        <v>70</v>
      </c>
      <c r="F37" t="s">
        <v>12</v>
      </c>
      <c r="G37" t="s">
        <v>13</v>
      </c>
      <c r="H37" s="1">
        <v>46169</v>
      </c>
      <c r="I37">
        <v>0</v>
      </c>
      <c r="J37">
        <v>0.55000000000000004</v>
      </c>
      <c r="K37">
        <v>0</v>
      </c>
      <c r="L37">
        <v>800</v>
      </c>
      <c r="M37">
        <v>39.586574000063898</v>
      </c>
      <c r="N37">
        <v>1.931</v>
      </c>
      <c r="O37">
        <f>(Table1[[#This Row],[P]]&lt;&gt;0)*(Table1[[#This Row],[C]]&lt;&gt;0)</f>
        <v>0</v>
      </c>
      <c r="P37">
        <f>NETWORKDAYS(Table1[[#This Row],[ts_event]],Table1[[#This Row],[option_expiry_date]])</f>
        <v>28</v>
      </c>
      <c r="Q37">
        <f>Table1[[#This Row],[Column2]]/252</f>
        <v>0.1111111111111111</v>
      </c>
      <c r="R37" s="2" t="e">
        <f>IF(Table1[[#This Row],[CHECK2]]=0,NA(),
-(1/Table1[[#This Row],[T]])*LN((Table1[[#This Row],[S0]]-Table1[[#This Row],[C]]+Table1[[#This Row],[P]])/Table1[[#This Row],[K]])
)</f>
        <v>#N/A</v>
      </c>
    </row>
    <row r="38" spans="1:18">
      <c r="A38">
        <v>1</v>
      </c>
      <c r="B38" t="s">
        <v>10</v>
      </c>
      <c r="C38" s="1">
        <v>46132</v>
      </c>
      <c r="D38" t="s">
        <v>14</v>
      </c>
      <c r="E38">
        <v>80</v>
      </c>
      <c r="F38" t="s">
        <v>12</v>
      </c>
      <c r="G38" t="s">
        <v>13</v>
      </c>
      <c r="H38" s="1">
        <v>46169</v>
      </c>
      <c r="I38">
        <v>0</v>
      </c>
      <c r="J38">
        <v>0.375</v>
      </c>
      <c r="K38">
        <v>0</v>
      </c>
      <c r="L38">
        <v>300</v>
      </c>
      <c r="M38">
        <v>39.586574000063898</v>
      </c>
      <c r="N38">
        <v>1.931</v>
      </c>
      <c r="O38">
        <f>(Table1[[#This Row],[P]]&lt;&gt;0)*(Table1[[#This Row],[C]]&lt;&gt;0)</f>
        <v>0</v>
      </c>
      <c r="P38">
        <f>NETWORKDAYS(Table1[[#This Row],[ts_event]],Table1[[#This Row],[option_expiry_date]])</f>
        <v>28</v>
      </c>
      <c r="Q38">
        <f>Table1[[#This Row],[Column2]]/252</f>
        <v>0.1111111111111111</v>
      </c>
      <c r="R38" s="2" t="e">
        <f>IF(Table1[[#This Row],[CHECK2]]=0,NA(),
-(1/Table1[[#This Row],[T]])*LN((Table1[[#This Row],[S0]]-Table1[[#This Row],[C]]+Table1[[#This Row],[P]])/Table1[[#This Row],[K]])
)</f>
        <v>#N/A</v>
      </c>
    </row>
    <row r="39" spans="1:18">
      <c r="A39">
        <v>1</v>
      </c>
      <c r="B39" t="s">
        <v>10</v>
      </c>
      <c r="C39" s="1">
        <v>46132</v>
      </c>
      <c r="D39" t="s">
        <v>14</v>
      </c>
      <c r="E39">
        <v>90</v>
      </c>
      <c r="F39" t="s">
        <v>12</v>
      </c>
      <c r="G39" t="s">
        <v>13</v>
      </c>
      <c r="H39" s="1">
        <v>46169</v>
      </c>
      <c r="I39">
        <v>0</v>
      </c>
      <c r="J39">
        <v>0.24</v>
      </c>
      <c r="K39">
        <v>0</v>
      </c>
      <c r="L39">
        <v>500</v>
      </c>
      <c r="M39">
        <v>39.586574000063898</v>
      </c>
      <c r="N39">
        <v>1.931</v>
      </c>
      <c r="O39">
        <f>(Table1[[#This Row],[P]]&lt;&gt;0)*(Table1[[#This Row],[C]]&lt;&gt;0)</f>
        <v>0</v>
      </c>
      <c r="P39">
        <f>NETWORKDAYS(Table1[[#This Row],[ts_event]],Table1[[#This Row],[option_expiry_date]])</f>
        <v>28</v>
      </c>
      <c r="Q39">
        <f>Table1[[#This Row],[Column2]]/252</f>
        <v>0.1111111111111111</v>
      </c>
      <c r="R39" s="2" t="e">
        <f>IF(Table1[[#This Row],[CHECK2]]=0,NA(),
-(1/Table1[[#This Row],[T]])*LN((Table1[[#This Row],[S0]]-Table1[[#This Row],[C]]+Table1[[#This Row],[P]])/Table1[[#This Row],[K]])
)</f>
        <v>#N/A</v>
      </c>
    </row>
    <row r="40" spans="1:18">
      <c r="A40">
        <v>1</v>
      </c>
      <c r="B40" t="s">
        <v>10</v>
      </c>
      <c r="C40" s="1">
        <v>46132</v>
      </c>
      <c r="D40" t="s">
        <v>14</v>
      </c>
      <c r="E40">
        <v>120</v>
      </c>
      <c r="F40" t="s">
        <v>12</v>
      </c>
      <c r="G40" t="s">
        <v>13</v>
      </c>
      <c r="H40" s="1">
        <v>46169</v>
      </c>
      <c r="I40">
        <v>0</v>
      </c>
      <c r="J40">
        <v>0.12</v>
      </c>
      <c r="K40">
        <v>0</v>
      </c>
      <c r="L40">
        <v>1000</v>
      </c>
      <c r="M40">
        <v>39.586574000063898</v>
      </c>
      <c r="N40">
        <v>1.931</v>
      </c>
      <c r="O40">
        <f>(Table1[[#This Row],[P]]&lt;&gt;0)*(Table1[[#This Row],[C]]&lt;&gt;0)</f>
        <v>0</v>
      </c>
      <c r="P40">
        <f>NETWORKDAYS(Table1[[#This Row],[ts_event]],Table1[[#This Row],[option_expiry_date]])</f>
        <v>28</v>
      </c>
      <c r="Q40">
        <f>Table1[[#This Row],[Column2]]/252</f>
        <v>0.1111111111111111</v>
      </c>
      <c r="R40" s="2" t="e">
        <f>IF(Table1[[#This Row],[CHECK2]]=0,NA(),
-(1/Table1[[#This Row],[T]])*LN((Table1[[#This Row],[S0]]-Table1[[#This Row],[C]]+Table1[[#This Row],[P]])/Table1[[#This Row],[K]])
)</f>
        <v>#N/A</v>
      </c>
    </row>
    <row r="41" spans="1:18">
      <c r="A41">
        <v>1</v>
      </c>
      <c r="B41" t="s">
        <v>10</v>
      </c>
      <c r="C41" s="1">
        <v>46132</v>
      </c>
      <c r="D41" t="s">
        <v>15</v>
      </c>
      <c r="E41">
        <v>30</v>
      </c>
      <c r="F41" t="s">
        <v>12</v>
      </c>
      <c r="G41" t="s">
        <v>13</v>
      </c>
      <c r="H41" s="1">
        <v>46199</v>
      </c>
      <c r="I41">
        <v>0.72</v>
      </c>
      <c r="J41">
        <v>0</v>
      </c>
      <c r="K41">
        <v>275</v>
      </c>
      <c r="L41">
        <v>0</v>
      </c>
      <c r="M41">
        <v>39.5620963895513</v>
      </c>
      <c r="N41">
        <v>1.931</v>
      </c>
      <c r="O41">
        <f>(Table1[[#This Row],[P]]&lt;&gt;0)*(Table1[[#This Row],[C]]&lt;&gt;0)</f>
        <v>0</v>
      </c>
      <c r="P41">
        <f>NETWORKDAYS(Table1[[#This Row],[ts_event]],Table1[[#This Row],[option_expiry_date]])</f>
        <v>50</v>
      </c>
      <c r="Q41">
        <f>Table1[[#This Row],[Column2]]/252</f>
        <v>0.1984126984126984</v>
      </c>
      <c r="R41" s="2" t="e">
        <f>IF(Table1[[#This Row],[CHECK2]]=0,NA(),
-(1/Table1[[#This Row],[T]])*LN((Table1[[#This Row],[S0]]-Table1[[#This Row],[C]]+Table1[[#This Row],[P]])/Table1[[#This Row],[K]])
)</f>
        <v>#N/A</v>
      </c>
    </row>
    <row r="42" spans="1:18">
      <c r="A42">
        <v>1</v>
      </c>
      <c r="B42" t="s">
        <v>10</v>
      </c>
      <c r="C42" s="1">
        <v>46132</v>
      </c>
      <c r="D42" t="s">
        <v>15</v>
      </c>
      <c r="E42">
        <v>35</v>
      </c>
      <c r="F42" t="s">
        <v>12</v>
      </c>
      <c r="G42" t="s">
        <v>13</v>
      </c>
      <c r="H42" s="1">
        <v>46199</v>
      </c>
      <c r="I42">
        <v>2.1</v>
      </c>
      <c r="J42">
        <v>0</v>
      </c>
      <c r="K42">
        <v>625</v>
      </c>
      <c r="L42">
        <v>0</v>
      </c>
      <c r="M42">
        <v>39.5620963895513</v>
      </c>
      <c r="N42">
        <v>1.931</v>
      </c>
      <c r="O42">
        <f>(Table1[[#This Row],[P]]&lt;&gt;0)*(Table1[[#This Row],[C]]&lt;&gt;0)</f>
        <v>0</v>
      </c>
      <c r="P42">
        <f>NETWORKDAYS(Table1[[#This Row],[ts_event]],Table1[[#This Row],[option_expiry_date]])</f>
        <v>50</v>
      </c>
      <c r="Q42">
        <f>Table1[[#This Row],[Column2]]/252</f>
        <v>0.1984126984126984</v>
      </c>
      <c r="R42" s="2" t="e">
        <f>IF(Table1[[#This Row],[CHECK2]]=0,NA(),
-(1/Table1[[#This Row],[T]])*LN((Table1[[#This Row],[S0]]-Table1[[#This Row],[C]]+Table1[[#This Row],[P]])/Table1[[#This Row],[K]])
)</f>
        <v>#N/A</v>
      </c>
    </row>
    <row r="43" spans="1:18">
      <c r="A43">
        <v>1</v>
      </c>
      <c r="B43" t="s">
        <v>10</v>
      </c>
      <c r="C43" s="1">
        <v>46132</v>
      </c>
      <c r="D43" t="s">
        <v>15</v>
      </c>
      <c r="E43">
        <v>40</v>
      </c>
      <c r="F43" t="s">
        <v>12</v>
      </c>
      <c r="G43" t="s">
        <v>13</v>
      </c>
      <c r="H43" s="1">
        <v>46199</v>
      </c>
      <c r="I43">
        <v>4.9000000000000004</v>
      </c>
      <c r="J43">
        <v>0</v>
      </c>
      <c r="K43">
        <v>540</v>
      </c>
      <c r="L43">
        <v>0</v>
      </c>
      <c r="M43">
        <v>39.5620963895513</v>
      </c>
      <c r="N43">
        <v>1.931</v>
      </c>
      <c r="O43">
        <f>(Table1[[#This Row],[P]]&lt;&gt;0)*(Table1[[#This Row],[C]]&lt;&gt;0)</f>
        <v>0</v>
      </c>
      <c r="P43">
        <f>NETWORKDAYS(Table1[[#This Row],[ts_event]],Table1[[#This Row],[option_expiry_date]])</f>
        <v>50</v>
      </c>
      <c r="Q43">
        <f>Table1[[#This Row],[Column2]]/252</f>
        <v>0.1984126984126984</v>
      </c>
      <c r="R43" s="2" t="e">
        <f>IF(Table1[[#This Row],[CHECK2]]=0,NA(),
-(1/Table1[[#This Row],[T]])*LN((Table1[[#This Row],[S0]]-Table1[[#This Row],[C]]+Table1[[#This Row],[P]])/Table1[[#This Row],[K]])
)</f>
        <v>#N/A</v>
      </c>
    </row>
    <row r="44" spans="1:18">
      <c r="A44">
        <v>1</v>
      </c>
      <c r="B44" t="s">
        <v>10</v>
      </c>
      <c r="C44" s="1">
        <v>46132</v>
      </c>
      <c r="D44" t="s">
        <v>15</v>
      </c>
      <c r="E44">
        <v>44</v>
      </c>
      <c r="F44" t="s">
        <v>12</v>
      </c>
      <c r="G44" t="s">
        <v>13</v>
      </c>
      <c r="H44" s="1">
        <v>46199</v>
      </c>
      <c r="I44">
        <v>7.45</v>
      </c>
      <c r="J44">
        <v>0</v>
      </c>
      <c r="K44">
        <v>25</v>
      </c>
      <c r="L44">
        <v>0</v>
      </c>
      <c r="M44">
        <v>39.5620963895513</v>
      </c>
      <c r="N44">
        <v>1.931</v>
      </c>
      <c r="O44">
        <f>(Table1[[#This Row],[P]]&lt;&gt;0)*(Table1[[#This Row],[C]]&lt;&gt;0)</f>
        <v>0</v>
      </c>
      <c r="P44">
        <f>NETWORKDAYS(Table1[[#This Row],[ts_event]],Table1[[#This Row],[option_expiry_date]])</f>
        <v>50</v>
      </c>
      <c r="Q44">
        <f>Table1[[#This Row],[Column2]]/252</f>
        <v>0.1984126984126984</v>
      </c>
      <c r="R44" s="2" t="e">
        <f>IF(Table1[[#This Row],[CHECK2]]=0,NA(),
-(1/Table1[[#This Row],[T]])*LN((Table1[[#This Row],[S0]]-Table1[[#This Row],[C]]+Table1[[#This Row],[P]])/Table1[[#This Row],[K]])
)</f>
        <v>#N/A</v>
      </c>
    </row>
    <row r="45" spans="1:18">
      <c r="A45">
        <v>1</v>
      </c>
      <c r="B45" t="s">
        <v>10</v>
      </c>
      <c r="C45" s="1">
        <v>46132</v>
      </c>
      <c r="D45" t="s">
        <v>15</v>
      </c>
      <c r="E45">
        <v>45</v>
      </c>
      <c r="F45" t="s">
        <v>12</v>
      </c>
      <c r="G45" t="s">
        <v>13</v>
      </c>
      <c r="H45" s="1">
        <v>46199</v>
      </c>
      <c r="I45">
        <v>0</v>
      </c>
      <c r="J45">
        <v>3.7</v>
      </c>
      <c r="K45">
        <v>0</v>
      </c>
      <c r="L45">
        <v>50</v>
      </c>
      <c r="M45">
        <v>39.5620963895513</v>
      </c>
      <c r="N45">
        <v>1.931</v>
      </c>
      <c r="O45">
        <f>(Table1[[#This Row],[P]]&lt;&gt;0)*(Table1[[#This Row],[C]]&lt;&gt;0)</f>
        <v>0</v>
      </c>
      <c r="P45">
        <f>NETWORKDAYS(Table1[[#This Row],[ts_event]],Table1[[#This Row],[option_expiry_date]])</f>
        <v>50</v>
      </c>
      <c r="Q45">
        <f>Table1[[#This Row],[Column2]]/252</f>
        <v>0.1984126984126984</v>
      </c>
      <c r="R45" s="2" t="e">
        <f>IF(Table1[[#This Row],[CHECK2]]=0,NA(),
-(1/Table1[[#This Row],[T]])*LN((Table1[[#This Row],[S0]]-Table1[[#This Row],[C]]+Table1[[#This Row],[P]])/Table1[[#This Row],[K]])
)</f>
        <v>#N/A</v>
      </c>
    </row>
    <row r="46" spans="1:18">
      <c r="A46">
        <v>1</v>
      </c>
      <c r="B46" t="s">
        <v>10</v>
      </c>
      <c r="C46" s="1">
        <v>46132</v>
      </c>
      <c r="D46" t="s">
        <v>15</v>
      </c>
      <c r="E46">
        <v>50</v>
      </c>
      <c r="F46" t="s">
        <v>12</v>
      </c>
      <c r="G46" t="s">
        <v>13</v>
      </c>
      <c r="H46" s="1">
        <v>46199</v>
      </c>
      <c r="I46">
        <v>0</v>
      </c>
      <c r="J46">
        <v>2.6</v>
      </c>
      <c r="K46">
        <v>0</v>
      </c>
      <c r="L46">
        <v>125</v>
      </c>
      <c r="M46">
        <v>39.5620963895513</v>
      </c>
      <c r="N46">
        <v>1.931</v>
      </c>
      <c r="O46">
        <f>(Table1[[#This Row],[P]]&lt;&gt;0)*(Table1[[#This Row],[C]]&lt;&gt;0)</f>
        <v>0</v>
      </c>
      <c r="P46">
        <f>NETWORKDAYS(Table1[[#This Row],[ts_event]],Table1[[#This Row],[option_expiry_date]])</f>
        <v>50</v>
      </c>
      <c r="Q46">
        <f>Table1[[#This Row],[Column2]]/252</f>
        <v>0.1984126984126984</v>
      </c>
      <c r="R46" s="2" t="e">
        <f>IF(Table1[[#This Row],[CHECK2]]=0,NA(),
-(1/Table1[[#This Row],[T]])*LN((Table1[[#This Row],[S0]]-Table1[[#This Row],[C]]+Table1[[#This Row],[P]])/Table1[[#This Row],[K]])
)</f>
        <v>#N/A</v>
      </c>
    </row>
    <row r="47" spans="1:18">
      <c r="A47">
        <v>1</v>
      </c>
      <c r="B47" t="s">
        <v>10</v>
      </c>
      <c r="C47" s="1">
        <v>46132</v>
      </c>
      <c r="D47" t="s">
        <v>15</v>
      </c>
      <c r="E47">
        <v>51</v>
      </c>
      <c r="F47" t="s">
        <v>12</v>
      </c>
      <c r="G47" t="s">
        <v>13</v>
      </c>
      <c r="H47" s="1">
        <v>46199</v>
      </c>
      <c r="I47">
        <v>0</v>
      </c>
      <c r="J47">
        <v>2.2549999999999999</v>
      </c>
      <c r="K47">
        <v>0</v>
      </c>
      <c r="L47">
        <v>15</v>
      </c>
      <c r="M47">
        <v>39.5620963895513</v>
      </c>
      <c r="N47">
        <v>1.931</v>
      </c>
      <c r="O47">
        <f>(Table1[[#This Row],[P]]&lt;&gt;0)*(Table1[[#This Row],[C]]&lt;&gt;0)</f>
        <v>0</v>
      </c>
      <c r="P47">
        <f>NETWORKDAYS(Table1[[#This Row],[ts_event]],Table1[[#This Row],[option_expiry_date]])</f>
        <v>50</v>
      </c>
      <c r="Q47">
        <f>Table1[[#This Row],[Column2]]/252</f>
        <v>0.1984126984126984</v>
      </c>
      <c r="R47" s="2" t="e">
        <f>IF(Table1[[#This Row],[CHECK2]]=0,NA(),
-(1/Table1[[#This Row],[T]])*LN((Table1[[#This Row],[S0]]-Table1[[#This Row],[C]]+Table1[[#This Row],[P]])/Table1[[#This Row],[K]])
)</f>
        <v>#N/A</v>
      </c>
    </row>
    <row r="48" spans="1:18">
      <c r="A48">
        <v>1</v>
      </c>
      <c r="B48" t="s">
        <v>10</v>
      </c>
      <c r="C48" s="1">
        <v>46132</v>
      </c>
      <c r="D48" t="s">
        <v>15</v>
      </c>
      <c r="E48">
        <v>57</v>
      </c>
      <c r="F48" t="s">
        <v>12</v>
      </c>
      <c r="G48" t="s">
        <v>13</v>
      </c>
      <c r="H48" s="1">
        <v>46199</v>
      </c>
      <c r="I48">
        <v>0</v>
      </c>
      <c r="J48">
        <v>1.595</v>
      </c>
      <c r="K48">
        <v>0</v>
      </c>
      <c r="L48">
        <v>15</v>
      </c>
      <c r="M48">
        <v>39.5620963895513</v>
      </c>
      <c r="N48">
        <v>1.931</v>
      </c>
      <c r="O48">
        <f>(Table1[[#This Row],[P]]&lt;&gt;0)*(Table1[[#This Row],[C]]&lt;&gt;0)</f>
        <v>0</v>
      </c>
      <c r="P48">
        <f>NETWORKDAYS(Table1[[#This Row],[ts_event]],Table1[[#This Row],[option_expiry_date]])</f>
        <v>50</v>
      </c>
      <c r="Q48">
        <f>Table1[[#This Row],[Column2]]/252</f>
        <v>0.1984126984126984</v>
      </c>
      <c r="R48" s="2" t="e">
        <f>IF(Table1[[#This Row],[CHECK2]]=0,NA(),
-(1/Table1[[#This Row],[T]])*LN((Table1[[#This Row],[S0]]-Table1[[#This Row],[C]]+Table1[[#This Row],[P]])/Table1[[#This Row],[K]])
)</f>
        <v>#N/A</v>
      </c>
    </row>
    <row r="49" spans="1:18">
      <c r="A49">
        <v>1</v>
      </c>
      <c r="B49" t="s">
        <v>10</v>
      </c>
      <c r="C49" s="1">
        <v>46132</v>
      </c>
      <c r="D49" t="s">
        <v>15</v>
      </c>
      <c r="E49">
        <v>60</v>
      </c>
      <c r="F49" t="s">
        <v>12</v>
      </c>
      <c r="G49" t="s">
        <v>13</v>
      </c>
      <c r="H49" s="1">
        <v>46199</v>
      </c>
      <c r="I49">
        <v>0</v>
      </c>
      <c r="J49">
        <v>1.4750000000000001</v>
      </c>
      <c r="K49">
        <v>0</v>
      </c>
      <c r="L49">
        <v>800</v>
      </c>
      <c r="M49">
        <v>39.5620963895513</v>
      </c>
      <c r="N49">
        <v>1.931</v>
      </c>
      <c r="O49">
        <f>(Table1[[#This Row],[P]]&lt;&gt;0)*(Table1[[#This Row],[C]]&lt;&gt;0)</f>
        <v>0</v>
      </c>
      <c r="P49">
        <f>NETWORKDAYS(Table1[[#This Row],[ts_event]],Table1[[#This Row],[option_expiry_date]])</f>
        <v>50</v>
      </c>
      <c r="Q49">
        <f>Table1[[#This Row],[Column2]]/252</f>
        <v>0.1984126984126984</v>
      </c>
      <c r="R49" s="2" t="e">
        <f>IF(Table1[[#This Row],[CHECK2]]=0,NA(),
-(1/Table1[[#This Row],[T]])*LN((Table1[[#This Row],[S0]]-Table1[[#This Row],[C]]+Table1[[#This Row],[P]])/Table1[[#This Row],[K]])
)</f>
        <v>#N/A</v>
      </c>
    </row>
    <row r="50" spans="1:18">
      <c r="A50">
        <v>1</v>
      </c>
      <c r="B50" t="s">
        <v>10</v>
      </c>
      <c r="C50" s="1">
        <v>46132</v>
      </c>
      <c r="D50" t="s">
        <v>15</v>
      </c>
      <c r="E50">
        <v>85</v>
      </c>
      <c r="F50" t="s">
        <v>12</v>
      </c>
      <c r="G50" t="s">
        <v>13</v>
      </c>
      <c r="H50" s="1">
        <v>46199</v>
      </c>
      <c r="I50">
        <v>0</v>
      </c>
      <c r="J50">
        <v>0.68</v>
      </c>
      <c r="K50">
        <v>0</v>
      </c>
      <c r="L50">
        <v>35</v>
      </c>
      <c r="M50">
        <v>39.5620963895513</v>
      </c>
      <c r="N50">
        <v>1.931</v>
      </c>
      <c r="O50">
        <f>(Table1[[#This Row],[P]]&lt;&gt;0)*(Table1[[#This Row],[C]]&lt;&gt;0)</f>
        <v>0</v>
      </c>
      <c r="P50">
        <f>NETWORKDAYS(Table1[[#This Row],[ts_event]],Table1[[#This Row],[option_expiry_date]])</f>
        <v>50</v>
      </c>
      <c r="Q50">
        <f>Table1[[#This Row],[Column2]]/252</f>
        <v>0.1984126984126984</v>
      </c>
      <c r="R50" s="2" t="e">
        <f>IF(Table1[[#This Row],[CHECK2]]=0,NA(),
-(1/Table1[[#This Row],[T]])*LN((Table1[[#This Row],[S0]]-Table1[[#This Row],[C]]+Table1[[#This Row],[P]])/Table1[[#This Row],[K]])
)</f>
        <v>#N/A</v>
      </c>
    </row>
    <row r="51" spans="1:18">
      <c r="A51">
        <v>1</v>
      </c>
      <c r="B51" t="s">
        <v>10</v>
      </c>
      <c r="C51" s="1">
        <v>46132</v>
      </c>
      <c r="D51" t="s">
        <v>16</v>
      </c>
      <c r="E51">
        <v>45</v>
      </c>
      <c r="F51" t="s">
        <v>12</v>
      </c>
      <c r="G51" t="s">
        <v>13</v>
      </c>
      <c r="H51" s="1">
        <v>46230</v>
      </c>
      <c r="I51">
        <v>0</v>
      </c>
      <c r="J51">
        <v>3.95</v>
      </c>
      <c r="K51">
        <v>0</v>
      </c>
      <c r="L51">
        <v>250</v>
      </c>
      <c r="M51">
        <v>39.462524851580802</v>
      </c>
      <c r="N51">
        <v>1.931</v>
      </c>
      <c r="O51">
        <f>(Table1[[#This Row],[P]]&lt;&gt;0)*(Table1[[#This Row],[C]]&lt;&gt;0)</f>
        <v>0</v>
      </c>
      <c r="P51">
        <f>NETWORKDAYS(Table1[[#This Row],[ts_event]],Table1[[#This Row],[option_expiry_date]])</f>
        <v>71</v>
      </c>
      <c r="Q51">
        <f>Table1[[#This Row],[Column2]]/252</f>
        <v>0.28174603174603174</v>
      </c>
      <c r="R51" s="2" t="e">
        <f>IF(Table1[[#This Row],[CHECK2]]=0,NA(),
-(1/Table1[[#This Row],[T]])*LN((Table1[[#This Row],[S0]]-Table1[[#This Row],[C]]+Table1[[#This Row],[P]])/Table1[[#This Row],[K]])
)</f>
        <v>#N/A</v>
      </c>
    </row>
    <row r="52" spans="1:18">
      <c r="A52">
        <v>1</v>
      </c>
      <c r="B52" t="s">
        <v>10</v>
      </c>
      <c r="C52" s="1">
        <v>46132</v>
      </c>
      <c r="D52" t="s">
        <v>16</v>
      </c>
      <c r="E52">
        <v>55</v>
      </c>
      <c r="F52" t="s">
        <v>12</v>
      </c>
      <c r="G52" t="s">
        <v>13</v>
      </c>
      <c r="H52" s="1">
        <v>46230</v>
      </c>
      <c r="I52">
        <v>0</v>
      </c>
      <c r="J52">
        <v>2.3050000000000002</v>
      </c>
      <c r="K52">
        <v>0</v>
      </c>
      <c r="L52">
        <v>250</v>
      </c>
      <c r="M52">
        <v>39.462524851580802</v>
      </c>
      <c r="N52">
        <v>1.931</v>
      </c>
      <c r="O52">
        <f>(Table1[[#This Row],[P]]&lt;&gt;0)*(Table1[[#This Row],[C]]&lt;&gt;0)</f>
        <v>0</v>
      </c>
      <c r="P52">
        <f>NETWORKDAYS(Table1[[#This Row],[ts_event]],Table1[[#This Row],[option_expiry_date]])</f>
        <v>71</v>
      </c>
      <c r="Q52">
        <f>Table1[[#This Row],[Column2]]/252</f>
        <v>0.28174603174603174</v>
      </c>
      <c r="R52" s="2" t="e">
        <f>IF(Table1[[#This Row],[CHECK2]]=0,NA(),
-(1/Table1[[#This Row],[T]])*LN((Table1[[#This Row],[S0]]-Table1[[#This Row],[C]]+Table1[[#This Row],[P]])/Table1[[#This Row],[K]])
)</f>
        <v>#N/A</v>
      </c>
    </row>
    <row r="53" spans="1:18">
      <c r="A53">
        <v>1</v>
      </c>
      <c r="B53" t="s">
        <v>10</v>
      </c>
      <c r="C53" s="1">
        <v>46132</v>
      </c>
      <c r="D53" t="s">
        <v>16</v>
      </c>
      <c r="E53">
        <v>85</v>
      </c>
      <c r="F53" t="s">
        <v>12</v>
      </c>
      <c r="G53" t="s">
        <v>13</v>
      </c>
      <c r="H53" s="1">
        <v>46230</v>
      </c>
      <c r="I53">
        <v>0</v>
      </c>
      <c r="J53">
        <v>0.93</v>
      </c>
      <c r="K53">
        <v>0</v>
      </c>
      <c r="L53">
        <v>32</v>
      </c>
      <c r="M53">
        <v>39.462524851580802</v>
      </c>
      <c r="N53">
        <v>1.931</v>
      </c>
      <c r="O53">
        <f>(Table1[[#This Row],[P]]&lt;&gt;0)*(Table1[[#This Row],[C]]&lt;&gt;0)</f>
        <v>0</v>
      </c>
      <c r="P53">
        <f>NETWORKDAYS(Table1[[#This Row],[ts_event]],Table1[[#This Row],[option_expiry_date]])</f>
        <v>71</v>
      </c>
      <c r="Q53">
        <f>Table1[[#This Row],[Column2]]/252</f>
        <v>0.28174603174603174</v>
      </c>
      <c r="R53" s="2" t="e">
        <f>IF(Table1[[#This Row],[CHECK2]]=0,NA(),
-(1/Table1[[#This Row],[T]])*LN((Table1[[#This Row],[S0]]-Table1[[#This Row],[C]]+Table1[[#This Row],[P]])/Table1[[#This Row],[K]])
)</f>
        <v>#N/A</v>
      </c>
    </row>
    <row r="54" spans="1:18">
      <c r="A54">
        <v>1</v>
      </c>
      <c r="B54" t="s">
        <v>10</v>
      </c>
      <c r="C54" s="1">
        <v>46132</v>
      </c>
      <c r="D54" t="s">
        <v>17</v>
      </c>
      <c r="E54">
        <v>25</v>
      </c>
      <c r="F54" t="s">
        <v>12</v>
      </c>
      <c r="G54" t="s">
        <v>13</v>
      </c>
      <c r="H54" s="1">
        <v>46260</v>
      </c>
      <c r="I54">
        <v>0.35</v>
      </c>
      <c r="J54">
        <v>0</v>
      </c>
      <c r="K54">
        <v>300</v>
      </c>
      <c r="L54">
        <v>0</v>
      </c>
      <c r="M54">
        <v>39.552314460596698</v>
      </c>
      <c r="N54">
        <v>1.931</v>
      </c>
      <c r="O54">
        <f>(Table1[[#This Row],[P]]&lt;&gt;0)*(Table1[[#This Row],[C]]&lt;&gt;0)</f>
        <v>0</v>
      </c>
      <c r="P54">
        <f>NETWORKDAYS(Table1[[#This Row],[ts_event]],Table1[[#This Row],[option_expiry_date]])</f>
        <v>93</v>
      </c>
      <c r="Q54">
        <f>Table1[[#This Row],[Column2]]/252</f>
        <v>0.36904761904761907</v>
      </c>
      <c r="R54" s="2" t="e">
        <f>IF(Table1[[#This Row],[CHECK2]]=0,NA(),
-(1/Table1[[#This Row],[T]])*LN((Table1[[#This Row],[S0]]-Table1[[#This Row],[C]]+Table1[[#This Row],[P]])/Table1[[#This Row],[K]])
)</f>
        <v>#N/A</v>
      </c>
    </row>
    <row r="55" spans="1:18">
      <c r="A55">
        <v>1</v>
      </c>
      <c r="B55" t="s">
        <v>10</v>
      </c>
      <c r="C55" s="1">
        <v>46132</v>
      </c>
      <c r="D55" t="s">
        <v>17</v>
      </c>
      <c r="E55">
        <v>29</v>
      </c>
      <c r="F55" t="s">
        <v>12</v>
      </c>
      <c r="G55" t="s">
        <v>13</v>
      </c>
      <c r="H55" s="1">
        <v>46260</v>
      </c>
      <c r="I55">
        <v>0.71499999999999997</v>
      </c>
      <c r="J55">
        <v>0</v>
      </c>
      <c r="K55">
        <v>25</v>
      </c>
      <c r="L55">
        <v>0</v>
      </c>
      <c r="M55">
        <v>39.552314460596698</v>
      </c>
      <c r="N55">
        <v>1.931</v>
      </c>
      <c r="O55">
        <f>(Table1[[#This Row],[P]]&lt;&gt;0)*(Table1[[#This Row],[C]]&lt;&gt;0)</f>
        <v>0</v>
      </c>
      <c r="P55">
        <f>NETWORKDAYS(Table1[[#This Row],[ts_event]],Table1[[#This Row],[option_expiry_date]])</f>
        <v>93</v>
      </c>
      <c r="Q55">
        <f>Table1[[#This Row],[Column2]]/252</f>
        <v>0.36904761904761907</v>
      </c>
      <c r="R55" s="2" t="e">
        <f>IF(Table1[[#This Row],[CHECK2]]=0,NA(),
-(1/Table1[[#This Row],[T]])*LN((Table1[[#This Row],[S0]]-Table1[[#This Row],[C]]+Table1[[#This Row],[P]])/Table1[[#This Row],[K]])
)</f>
        <v>#N/A</v>
      </c>
    </row>
    <row r="56" spans="1:18">
      <c r="A56">
        <v>1</v>
      </c>
      <c r="B56" t="s">
        <v>10</v>
      </c>
      <c r="C56" s="1">
        <v>46132</v>
      </c>
      <c r="D56" t="s">
        <v>17</v>
      </c>
      <c r="E56">
        <v>30</v>
      </c>
      <c r="F56" t="s">
        <v>12</v>
      </c>
      <c r="G56" t="s">
        <v>13</v>
      </c>
      <c r="H56" s="1">
        <v>46260</v>
      </c>
      <c r="I56">
        <v>0.98499999999999999</v>
      </c>
      <c r="J56">
        <v>0</v>
      </c>
      <c r="K56">
        <v>50</v>
      </c>
      <c r="L56">
        <v>0</v>
      </c>
      <c r="M56">
        <v>39.552314460596698</v>
      </c>
      <c r="N56">
        <v>1.931</v>
      </c>
      <c r="O56">
        <f>(Table1[[#This Row],[P]]&lt;&gt;0)*(Table1[[#This Row],[C]]&lt;&gt;0)</f>
        <v>0</v>
      </c>
      <c r="P56">
        <f>NETWORKDAYS(Table1[[#This Row],[ts_event]],Table1[[#This Row],[option_expiry_date]])</f>
        <v>93</v>
      </c>
      <c r="Q56">
        <f>Table1[[#This Row],[Column2]]/252</f>
        <v>0.36904761904761907</v>
      </c>
      <c r="R56" s="2" t="e">
        <f>IF(Table1[[#This Row],[CHECK2]]=0,NA(),
-(1/Table1[[#This Row],[T]])*LN((Table1[[#This Row],[S0]]-Table1[[#This Row],[C]]+Table1[[#This Row],[P]])/Table1[[#This Row],[K]])
)</f>
        <v>#N/A</v>
      </c>
    </row>
    <row r="57" spans="1:18">
      <c r="A57">
        <v>1</v>
      </c>
      <c r="B57" t="s">
        <v>10</v>
      </c>
      <c r="C57" s="1">
        <v>46132</v>
      </c>
      <c r="D57" t="s">
        <v>17</v>
      </c>
      <c r="E57">
        <v>70</v>
      </c>
      <c r="F57" t="s">
        <v>12</v>
      </c>
      <c r="G57" t="s">
        <v>13</v>
      </c>
      <c r="H57" s="1">
        <v>46260</v>
      </c>
      <c r="I57">
        <v>0</v>
      </c>
      <c r="J57">
        <v>1.68</v>
      </c>
      <c r="K57">
        <v>0</v>
      </c>
      <c r="L57">
        <v>25</v>
      </c>
      <c r="M57">
        <v>39.552314460596698</v>
      </c>
      <c r="N57">
        <v>1.931</v>
      </c>
      <c r="O57">
        <f>(Table1[[#This Row],[P]]&lt;&gt;0)*(Table1[[#This Row],[C]]&lt;&gt;0)</f>
        <v>0</v>
      </c>
      <c r="P57">
        <f>NETWORKDAYS(Table1[[#This Row],[ts_event]],Table1[[#This Row],[option_expiry_date]])</f>
        <v>93</v>
      </c>
      <c r="Q57">
        <f>Table1[[#This Row],[Column2]]/252</f>
        <v>0.36904761904761907</v>
      </c>
      <c r="R57" s="2" t="e">
        <f>IF(Table1[[#This Row],[CHECK2]]=0,NA(),
-(1/Table1[[#This Row],[T]])*LN((Table1[[#This Row],[S0]]-Table1[[#This Row],[C]]+Table1[[#This Row],[P]])/Table1[[#This Row],[K]])
)</f>
        <v>#N/A</v>
      </c>
    </row>
    <row r="58" spans="1:18">
      <c r="A58">
        <v>1</v>
      </c>
      <c r="B58" t="s">
        <v>10</v>
      </c>
      <c r="C58" s="1">
        <v>46132</v>
      </c>
      <c r="D58" t="s">
        <v>17</v>
      </c>
      <c r="E58">
        <v>75</v>
      </c>
      <c r="F58" t="s">
        <v>12</v>
      </c>
      <c r="G58" t="s">
        <v>13</v>
      </c>
      <c r="H58" s="1">
        <v>46260</v>
      </c>
      <c r="I58">
        <v>0</v>
      </c>
      <c r="J58">
        <v>1.4650000000000001</v>
      </c>
      <c r="K58">
        <v>0</v>
      </c>
      <c r="L58">
        <v>50</v>
      </c>
      <c r="M58">
        <v>39.552314460596698</v>
      </c>
      <c r="N58">
        <v>1.931</v>
      </c>
      <c r="O58">
        <f>(Table1[[#This Row],[P]]&lt;&gt;0)*(Table1[[#This Row],[C]]&lt;&gt;0)</f>
        <v>0</v>
      </c>
      <c r="P58">
        <f>NETWORKDAYS(Table1[[#This Row],[ts_event]],Table1[[#This Row],[option_expiry_date]])</f>
        <v>93</v>
      </c>
      <c r="Q58">
        <f>Table1[[#This Row],[Column2]]/252</f>
        <v>0.36904761904761907</v>
      </c>
      <c r="R58" s="2" t="e">
        <f>IF(Table1[[#This Row],[CHECK2]]=0,NA(),
-(1/Table1[[#This Row],[T]])*LN((Table1[[#This Row],[S0]]-Table1[[#This Row],[C]]+Table1[[#This Row],[P]])/Table1[[#This Row],[K]])
)</f>
        <v>#N/A</v>
      </c>
    </row>
    <row r="59" spans="1:18">
      <c r="A59">
        <v>1</v>
      </c>
      <c r="B59" t="s">
        <v>10</v>
      </c>
      <c r="C59" s="1">
        <v>46132</v>
      </c>
      <c r="D59" t="s">
        <v>17</v>
      </c>
      <c r="E59">
        <v>95</v>
      </c>
      <c r="F59" t="s">
        <v>12</v>
      </c>
      <c r="G59" t="s">
        <v>13</v>
      </c>
      <c r="H59" s="1">
        <v>46260</v>
      </c>
      <c r="I59">
        <v>0</v>
      </c>
      <c r="J59">
        <v>0.74</v>
      </c>
      <c r="K59">
        <v>0</v>
      </c>
      <c r="L59">
        <v>25</v>
      </c>
      <c r="M59">
        <v>39.552314460596698</v>
      </c>
      <c r="N59">
        <v>1.931</v>
      </c>
      <c r="O59">
        <f>(Table1[[#This Row],[P]]&lt;&gt;0)*(Table1[[#This Row],[C]]&lt;&gt;0)</f>
        <v>0</v>
      </c>
      <c r="P59">
        <f>NETWORKDAYS(Table1[[#This Row],[ts_event]],Table1[[#This Row],[option_expiry_date]])</f>
        <v>93</v>
      </c>
      <c r="Q59">
        <f>Table1[[#This Row],[Column2]]/252</f>
        <v>0.36904761904761907</v>
      </c>
      <c r="R59" s="2" t="e">
        <f>IF(Table1[[#This Row],[CHECK2]]=0,NA(),
-(1/Table1[[#This Row],[T]])*LN((Table1[[#This Row],[S0]]-Table1[[#This Row],[C]]+Table1[[#This Row],[P]])/Table1[[#This Row],[K]])
)</f>
        <v>#N/A</v>
      </c>
    </row>
    <row r="60" spans="1:18">
      <c r="A60">
        <v>1</v>
      </c>
      <c r="B60" t="s">
        <v>10</v>
      </c>
      <c r="C60" s="1">
        <v>46132</v>
      </c>
      <c r="D60" t="s">
        <v>18</v>
      </c>
      <c r="E60">
        <v>50</v>
      </c>
      <c r="F60" t="s">
        <v>12</v>
      </c>
      <c r="G60" t="s">
        <v>13</v>
      </c>
      <c r="H60" s="1">
        <v>46290</v>
      </c>
      <c r="I60">
        <v>0</v>
      </c>
      <c r="J60">
        <v>4.0999999999999996</v>
      </c>
      <c r="K60">
        <v>0</v>
      </c>
      <c r="L60">
        <v>175</v>
      </c>
      <c r="M60">
        <v>39.577156310508698</v>
      </c>
      <c r="N60">
        <v>1.931</v>
      </c>
      <c r="O60">
        <f>(Table1[[#This Row],[P]]&lt;&gt;0)*(Table1[[#This Row],[C]]&lt;&gt;0)</f>
        <v>0</v>
      </c>
      <c r="P60">
        <f>NETWORKDAYS(Table1[[#This Row],[ts_event]],Table1[[#This Row],[option_expiry_date]])</f>
        <v>115</v>
      </c>
      <c r="Q60">
        <f>Table1[[#This Row],[Column2]]/252</f>
        <v>0.45634920634920634</v>
      </c>
      <c r="R60" s="2" t="e">
        <f>IF(Table1[[#This Row],[CHECK2]]=0,NA(),
-(1/Table1[[#This Row],[T]])*LN((Table1[[#This Row],[S0]]-Table1[[#This Row],[C]]+Table1[[#This Row],[P]])/Table1[[#This Row],[K]])
)</f>
        <v>#N/A</v>
      </c>
    </row>
    <row r="61" spans="1:18">
      <c r="A61">
        <v>1</v>
      </c>
      <c r="B61" t="s">
        <v>10</v>
      </c>
      <c r="C61" s="1">
        <v>46132</v>
      </c>
      <c r="D61" t="s">
        <v>18</v>
      </c>
      <c r="E61">
        <v>60</v>
      </c>
      <c r="F61" t="s">
        <v>12</v>
      </c>
      <c r="G61" t="s">
        <v>13</v>
      </c>
      <c r="H61" s="1">
        <v>46290</v>
      </c>
      <c r="I61">
        <v>0</v>
      </c>
      <c r="J61">
        <v>2.8</v>
      </c>
      <c r="K61">
        <v>0</v>
      </c>
      <c r="L61">
        <v>50</v>
      </c>
      <c r="M61">
        <v>39.577156310508698</v>
      </c>
      <c r="N61">
        <v>1.931</v>
      </c>
      <c r="O61">
        <f>(Table1[[#This Row],[P]]&lt;&gt;0)*(Table1[[#This Row],[C]]&lt;&gt;0)</f>
        <v>0</v>
      </c>
      <c r="P61">
        <f>NETWORKDAYS(Table1[[#This Row],[ts_event]],Table1[[#This Row],[option_expiry_date]])</f>
        <v>115</v>
      </c>
      <c r="Q61">
        <f>Table1[[#This Row],[Column2]]/252</f>
        <v>0.45634920634920634</v>
      </c>
      <c r="R61" s="2" t="e">
        <f>IF(Table1[[#This Row],[CHECK2]]=0,NA(),
-(1/Table1[[#This Row],[T]])*LN((Table1[[#This Row],[S0]]-Table1[[#This Row],[C]]+Table1[[#This Row],[P]])/Table1[[#This Row],[K]])
)</f>
        <v>#N/A</v>
      </c>
    </row>
    <row r="62" spans="1:18">
      <c r="A62">
        <v>1</v>
      </c>
      <c r="B62" t="s">
        <v>10</v>
      </c>
      <c r="C62" s="1">
        <v>46132</v>
      </c>
      <c r="D62" t="s">
        <v>19</v>
      </c>
      <c r="E62">
        <v>43</v>
      </c>
      <c r="F62" t="s">
        <v>12</v>
      </c>
      <c r="G62" t="s">
        <v>13</v>
      </c>
      <c r="H62" s="1">
        <v>46380</v>
      </c>
      <c r="I62">
        <v>0</v>
      </c>
      <c r="J62">
        <v>6.9</v>
      </c>
      <c r="K62">
        <v>0</v>
      </c>
      <c r="L62">
        <v>1092</v>
      </c>
      <c r="M62">
        <v>39.17</v>
      </c>
      <c r="N62">
        <v>1.931</v>
      </c>
      <c r="O62">
        <f>(Table1[[#This Row],[P]]&lt;&gt;0)*(Table1[[#This Row],[C]]&lt;&gt;0)</f>
        <v>0</v>
      </c>
      <c r="P62">
        <f>NETWORKDAYS(Table1[[#This Row],[ts_event]],Table1[[#This Row],[option_expiry_date]])</f>
        <v>179</v>
      </c>
      <c r="Q62">
        <f>Table1[[#This Row],[Column2]]/252</f>
        <v>0.71031746031746035</v>
      </c>
      <c r="R62" s="2" t="e">
        <f>IF(Table1[[#This Row],[CHECK2]]=0,NA(),
-(1/Table1[[#This Row],[T]])*LN((Table1[[#This Row],[S0]]-Table1[[#This Row],[C]]+Table1[[#This Row],[P]])/Table1[[#This Row],[K]])
)</f>
        <v>#N/A</v>
      </c>
    </row>
    <row r="63" spans="1:18">
      <c r="A63">
        <v>1</v>
      </c>
      <c r="B63" t="s">
        <v>10</v>
      </c>
      <c r="C63" s="1">
        <v>46132</v>
      </c>
      <c r="D63" t="s">
        <v>19</v>
      </c>
      <c r="E63">
        <v>53</v>
      </c>
      <c r="F63" t="s">
        <v>12</v>
      </c>
      <c r="G63" t="s">
        <v>13</v>
      </c>
      <c r="H63" s="1">
        <v>46380</v>
      </c>
      <c r="I63">
        <v>0</v>
      </c>
      <c r="J63">
        <v>4.8499999999999996</v>
      </c>
      <c r="K63">
        <v>0</v>
      </c>
      <c r="L63">
        <v>1043</v>
      </c>
      <c r="M63">
        <v>39.17</v>
      </c>
      <c r="N63">
        <v>1.931</v>
      </c>
      <c r="O63">
        <f>(Table1[[#This Row],[P]]&lt;&gt;0)*(Table1[[#This Row],[C]]&lt;&gt;0)</f>
        <v>0</v>
      </c>
      <c r="P63">
        <f>NETWORKDAYS(Table1[[#This Row],[ts_event]],Table1[[#This Row],[option_expiry_date]])</f>
        <v>179</v>
      </c>
      <c r="Q63">
        <f>Table1[[#This Row],[Column2]]/252</f>
        <v>0.71031746031746035</v>
      </c>
      <c r="R63" s="2" t="e">
        <f>IF(Table1[[#This Row],[CHECK2]]=0,NA(),
-(1/Table1[[#This Row],[T]])*LN((Table1[[#This Row],[S0]]-Table1[[#This Row],[C]]+Table1[[#This Row],[P]])/Table1[[#This Row],[K]])
)</f>
        <v>#N/A</v>
      </c>
    </row>
    <row r="64" spans="1:18">
      <c r="A64">
        <v>2</v>
      </c>
      <c r="B64" t="s">
        <v>10</v>
      </c>
      <c r="C64" s="1">
        <v>46133</v>
      </c>
      <c r="D64" t="s">
        <v>11</v>
      </c>
      <c r="E64">
        <v>32</v>
      </c>
      <c r="F64" t="s">
        <v>12</v>
      </c>
      <c r="G64" t="s">
        <v>13</v>
      </c>
      <c r="H64" s="1">
        <v>46136</v>
      </c>
      <c r="I64">
        <v>0.28999999999999998</v>
      </c>
      <c r="J64">
        <v>0</v>
      </c>
      <c r="K64">
        <v>1250</v>
      </c>
      <c r="L64">
        <v>0</v>
      </c>
      <c r="M64">
        <v>43.160705267238697</v>
      </c>
      <c r="N64">
        <v>1.9319999999999999</v>
      </c>
      <c r="O64">
        <f>(Table1[[#This Row],[P]]&lt;&gt;0)*(Table1[[#This Row],[C]]&lt;&gt;0)</f>
        <v>0</v>
      </c>
      <c r="P64">
        <f>NETWORKDAYS(Table1[[#This Row],[ts_event]],Table1[[#This Row],[option_expiry_date]])</f>
        <v>4</v>
      </c>
      <c r="Q64">
        <f>Table1[[#This Row],[Column2]]/252</f>
        <v>1.5873015873015872E-2</v>
      </c>
      <c r="R64" s="2" t="e">
        <f>IF(Table1[[#This Row],[CHECK2]]=0,NA(),
-(1/Table1[[#This Row],[T]])*LN((Table1[[#This Row],[S0]]-Table1[[#This Row],[C]]+Table1[[#This Row],[P]])/Table1[[#This Row],[K]])
)</f>
        <v>#N/A</v>
      </c>
    </row>
    <row r="65" spans="1:18">
      <c r="A65">
        <v>1</v>
      </c>
      <c r="B65" t="s">
        <v>10</v>
      </c>
      <c r="C65" s="1">
        <v>46133</v>
      </c>
      <c r="D65" t="s">
        <v>11</v>
      </c>
      <c r="E65">
        <v>34</v>
      </c>
      <c r="F65" t="s">
        <v>12</v>
      </c>
      <c r="G65" t="s">
        <v>13</v>
      </c>
      <c r="H65" s="1">
        <v>46136</v>
      </c>
      <c r="I65">
        <v>6.5000000000000002E-2</v>
      </c>
      <c r="J65">
        <v>0</v>
      </c>
      <c r="K65">
        <v>1675</v>
      </c>
      <c r="L65">
        <v>0</v>
      </c>
      <c r="M65">
        <v>43.160705267238697</v>
      </c>
      <c r="N65">
        <v>1.9319999999999999</v>
      </c>
      <c r="O65">
        <f>(Table1[[#This Row],[P]]&lt;&gt;0)*(Table1[[#This Row],[C]]&lt;&gt;0)</f>
        <v>0</v>
      </c>
      <c r="P65">
        <f>NETWORKDAYS(Table1[[#This Row],[ts_event]],Table1[[#This Row],[option_expiry_date]])</f>
        <v>4</v>
      </c>
      <c r="Q65">
        <f>Table1[[#This Row],[Column2]]/252</f>
        <v>1.5873015873015872E-2</v>
      </c>
      <c r="R65" s="2" t="e">
        <f>IF(Table1[[#This Row],[CHECK2]]=0,NA(),
-(1/Table1[[#This Row],[T]])*LN((Table1[[#This Row],[S0]]-Table1[[#This Row],[C]]+Table1[[#This Row],[P]])/Table1[[#This Row],[K]])
)</f>
        <v>#N/A</v>
      </c>
    </row>
    <row r="66" spans="1:18">
      <c r="A66">
        <v>3</v>
      </c>
      <c r="B66" t="s">
        <v>10</v>
      </c>
      <c r="C66" s="1">
        <v>46133</v>
      </c>
      <c r="D66" t="s">
        <v>11</v>
      </c>
      <c r="E66">
        <v>35</v>
      </c>
      <c r="F66" t="s">
        <v>12</v>
      </c>
      <c r="G66" t="s">
        <v>13</v>
      </c>
      <c r="H66" s="1">
        <v>46136</v>
      </c>
      <c r="I66">
        <v>0.21130434782608601</v>
      </c>
      <c r="J66">
        <v>7.2249999999999996</v>
      </c>
      <c r="K66">
        <v>6325</v>
      </c>
      <c r="L66">
        <v>1375</v>
      </c>
      <c r="M66">
        <v>43.160705267238697</v>
      </c>
      <c r="N66">
        <v>1.9319999999999999</v>
      </c>
      <c r="O66">
        <f>(Table1[[#This Row],[P]]&lt;&gt;0)*(Table1[[#This Row],[C]]&lt;&gt;0)</f>
        <v>1</v>
      </c>
      <c r="P66">
        <f>NETWORKDAYS(Table1[[#This Row],[ts_event]],Table1[[#This Row],[option_expiry_date]])</f>
        <v>4</v>
      </c>
      <c r="Q66">
        <f>Table1[[#This Row],[Column2]]/252</f>
        <v>1.5873015873015872E-2</v>
      </c>
      <c r="R66" s="2">
        <f>IF(Table1[[#This Row],[CHECK2]]=0,NA(),
-(1/Table1[[#This Row],[T]])*LN((Table1[[#This Row],[S0]]-Table1[[#This Row],[C]]+Table1[[#This Row],[P]])/Table1[[#This Row],[K]])
)</f>
        <v>-2.0315082134825331</v>
      </c>
    </row>
    <row r="67" spans="1:18">
      <c r="A67">
        <v>1</v>
      </c>
      <c r="B67" t="s">
        <v>10</v>
      </c>
      <c r="C67" s="1">
        <v>46133</v>
      </c>
      <c r="D67" t="s">
        <v>11</v>
      </c>
      <c r="E67">
        <v>36</v>
      </c>
      <c r="F67" t="s">
        <v>12</v>
      </c>
      <c r="G67" t="s">
        <v>13</v>
      </c>
      <c r="H67" s="1">
        <v>46136</v>
      </c>
      <c r="I67">
        <v>0.2</v>
      </c>
      <c r="J67">
        <v>0</v>
      </c>
      <c r="K67">
        <v>850</v>
      </c>
      <c r="L67">
        <v>0</v>
      </c>
      <c r="M67">
        <v>43.160705267238697</v>
      </c>
      <c r="N67">
        <v>1.9319999999999999</v>
      </c>
      <c r="O67">
        <f>(Table1[[#This Row],[P]]&lt;&gt;0)*(Table1[[#This Row],[C]]&lt;&gt;0)</f>
        <v>0</v>
      </c>
      <c r="P67">
        <f>NETWORKDAYS(Table1[[#This Row],[ts_event]],Table1[[#This Row],[option_expiry_date]])</f>
        <v>4</v>
      </c>
      <c r="Q67">
        <f>Table1[[#This Row],[Column2]]/252</f>
        <v>1.5873015873015872E-2</v>
      </c>
      <c r="R67" s="2" t="e">
        <f>IF(Table1[[#This Row],[CHECK2]]=0,NA(),
-(1/Table1[[#This Row],[T]])*LN((Table1[[#This Row],[S0]]-Table1[[#This Row],[C]]+Table1[[#This Row],[P]])/Table1[[#This Row],[K]])
)</f>
        <v>#N/A</v>
      </c>
    </row>
    <row r="68" spans="1:18">
      <c r="A68">
        <v>1</v>
      </c>
      <c r="B68" t="s">
        <v>10</v>
      </c>
      <c r="C68" s="1">
        <v>46133</v>
      </c>
      <c r="D68" t="s">
        <v>11</v>
      </c>
      <c r="E68">
        <v>37</v>
      </c>
      <c r="F68" t="s">
        <v>12</v>
      </c>
      <c r="G68" t="s">
        <v>13</v>
      </c>
      <c r="H68" s="1">
        <v>46136</v>
      </c>
      <c r="I68">
        <v>0.32</v>
      </c>
      <c r="J68">
        <v>0</v>
      </c>
      <c r="K68">
        <v>3200</v>
      </c>
      <c r="L68">
        <v>0</v>
      </c>
      <c r="M68">
        <v>43.160705267238697</v>
      </c>
      <c r="N68">
        <v>1.9319999999999999</v>
      </c>
      <c r="O68">
        <f>(Table1[[#This Row],[P]]&lt;&gt;0)*(Table1[[#This Row],[C]]&lt;&gt;0)</f>
        <v>0</v>
      </c>
      <c r="P68">
        <f>NETWORKDAYS(Table1[[#This Row],[ts_event]],Table1[[#This Row],[option_expiry_date]])</f>
        <v>4</v>
      </c>
      <c r="Q68">
        <f>Table1[[#This Row],[Column2]]/252</f>
        <v>1.5873015873015872E-2</v>
      </c>
      <c r="R68" s="2" t="e">
        <f>IF(Table1[[#This Row],[CHECK2]]=0,NA(),
-(1/Table1[[#This Row],[T]])*LN((Table1[[#This Row],[S0]]-Table1[[#This Row],[C]]+Table1[[#This Row],[P]])/Table1[[#This Row],[K]])
)</f>
        <v>#N/A</v>
      </c>
    </row>
    <row r="69" spans="1:18">
      <c r="A69">
        <v>2</v>
      </c>
      <c r="B69" t="s">
        <v>10</v>
      </c>
      <c r="C69" s="1">
        <v>46133</v>
      </c>
      <c r="D69" t="s">
        <v>11</v>
      </c>
      <c r="E69">
        <v>38</v>
      </c>
      <c r="F69" t="s">
        <v>12</v>
      </c>
      <c r="G69" t="s">
        <v>13</v>
      </c>
      <c r="H69" s="1">
        <v>46136</v>
      </c>
      <c r="I69">
        <v>0.498511047070124</v>
      </c>
      <c r="J69">
        <v>0</v>
      </c>
      <c r="K69">
        <v>5205</v>
      </c>
      <c r="L69">
        <v>0</v>
      </c>
      <c r="M69">
        <v>43.160705267238697</v>
      </c>
      <c r="N69">
        <v>1.9319999999999999</v>
      </c>
      <c r="O69">
        <f>(Table1[[#This Row],[P]]&lt;&gt;0)*(Table1[[#This Row],[C]]&lt;&gt;0)</f>
        <v>0</v>
      </c>
      <c r="P69">
        <f>NETWORKDAYS(Table1[[#This Row],[ts_event]],Table1[[#This Row],[option_expiry_date]])</f>
        <v>4</v>
      </c>
      <c r="Q69">
        <f>Table1[[#This Row],[Column2]]/252</f>
        <v>1.5873015873015872E-2</v>
      </c>
      <c r="R69" s="2" t="e">
        <f>IF(Table1[[#This Row],[CHECK2]]=0,NA(),
-(1/Table1[[#This Row],[T]])*LN((Table1[[#This Row],[S0]]-Table1[[#This Row],[C]]+Table1[[#This Row],[P]])/Table1[[#This Row],[K]])
)</f>
        <v>#N/A</v>
      </c>
    </row>
    <row r="70" spans="1:18">
      <c r="A70">
        <v>1</v>
      </c>
      <c r="B70" t="s">
        <v>10</v>
      </c>
      <c r="C70" s="1">
        <v>46133</v>
      </c>
      <c r="D70" t="s">
        <v>11</v>
      </c>
      <c r="E70">
        <v>39</v>
      </c>
      <c r="F70" t="s">
        <v>12</v>
      </c>
      <c r="G70" t="s">
        <v>13</v>
      </c>
      <c r="H70" s="1">
        <v>46136</v>
      </c>
      <c r="I70">
        <v>0.86</v>
      </c>
      <c r="J70">
        <v>0</v>
      </c>
      <c r="K70">
        <v>50</v>
      </c>
      <c r="L70">
        <v>0</v>
      </c>
      <c r="M70">
        <v>43.160705267238697</v>
      </c>
      <c r="N70">
        <v>1.9319999999999999</v>
      </c>
      <c r="O70">
        <f>(Table1[[#This Row],[P]]&lt;&gt;0)*(Table1[[#This Row],[C]]&lt;&gt;0)</f>
        <v>0</v>
      </c>
      <c r="P70">
        <f>NETWORKDAYS(Table1[[#This Row],[ts_event]],Table1[[#This Row],[option_expiry_date]])</f>
        <v>4</v>
      </c>
      <c r="Q70">
        <f>Table1[[#This Row],[Column2]]/252</f>
        <v>1.5873015873015872E-2</v>
      </c>
      <c r="R70" s="2" t="e">
        <f>IF(Table1[[#This Row],[CHECK2]]=0,NA(),
-(1/Table1[[#This Row],[T]])*LN((Table1[[#This Row],[S0]]-Table1[[#This Row],[C]]+Table1[[#This Row],[P]])/Table1[[#This Row],[K]])
)</f>
        <v>#N/A</v>
      </c>
    </row>
    <row r="71" spans="1:18">
      <c r="A71">
        <v>4</v>
      </c>
      <c r="B71" t="s">
        <v>10</v>
      </c>
      <c r="C71" s="1">
        <v>46133</v>
      </c>
      <c r="D71" t="s">
        <v>11</v>
      </c>
      <c r="E71">
        <v>40</v>
      </c>
      <c r="F71" t="s">
        <v>12</v>
      </c>
      <c r="G71" t="s">
        <v>13</v>
      </c>
      <c r="H71" s="1">
        <v>46136</v>
      </c>
      <c r="I71">
        <v>1.1976993865030601</v>
      </c>
      <c r="J71">
        <v>2.7604060913705499</v>
      </c>
      <c r="K71">
        <v>3260</v>
      </c>
      <c r="L71">
        <v>985</v>
      </c>
      <c r="M71">
        <v>43.160705267238697</v>
      </c>
      <c r="N71">
        <v>1.9319999999999999</v>
      </c>
      <c r="O71">
        <f>(Table1[[#This Row],[P]]&lt;&gt;0)*(Table1[[#This Row],[C]]&lt;&gt;0)</f>
        <v>1</v>
      </c>
      <c r="P71">
        <f>NETWORKDAYS(Table1[[#This Row],[ts_event]],Table1[[#This Row],[option_expiry_date]])</f>
        <v>4</v>
      </c>
      <c r="Q71">
        <f>Table1[[#This Row],[Column2]]/252</f>
        <v>1.5873015873015872E-2</v>
      </c>
      <c r="R71" s="2">
        <f>IF(Table1[[#This Row],[CHECK2]]=0,NA(),
-(1/Table1[[#This Row],[T]])*LN((Table1[[#This Row],[S0]]-Table1[[#This Row],[C]]+Table1[[#This Row],[P]])/Table1[[#This Row],[K]])
)</f>
        <v>-2.4678738324088063</v>
      </c>
    </row>
    <row r="72" spans="1:18">
      <c r="A72">
        <v>2</v>
      </c>
      <c r="B72" t="s">
        <v>10</v>
      </c>
      <c r="C72" s="1">
        <v>46133</v>
      </c>
      <c r="D72" t="s">
        <v>11</v>
      </c>
      <c r="E72">
        <v>42</v>
      </c>
      <c r="F72" t="s">
        <v>12</v>
      </c>
      <c r="G72" t="s">
        <v>13</v>
      </c>
      <c r="H72" s="1">
        <v>46136</v>
      </c>
      <c r="I72">
        <v>2.165</v>
      </c>
      <c r="J72">
        <v>2.0049999999999999</v>
      </c>
      <c r="K72">
        <v>750</v>
      </c>
      <c r="L72">
        <v>250</v>
      </c>
      <c r="M72">
        <v>43.160705267238697</v>
      </c>
      <c r="N72">
        <v>1.9319999999999999</v>
      </c>
      <c r="O72">
        <f>(Table1[[#This Row],[P]]&lt;&gt;0)*(Table1[[#This Row],[C]]&lt;&gt;0)</f>
        <v>1</v>
      </c>
      <c r="P72">
        <f>NETWORKDAYS(Table1[[#This Row],[ts_event]],Table1[[#This Row],[option_expiry_date]])</f>
        <v>4</v>
      </c>
      <c r="Q72">
        <f>Table1[[#This Row],[Column2]]/252</f>
        <v>1.5873015873015872E-2</v>
      </c>
      <c r="R72" s="2">
        <f>IF(Table1[[#This Row],[CHECK2]]=0,NA(),
-(1/Table1[[#This Row],[T]])*LN((Table1[[#This Row],[S0]]-Table1[[#This Row],[C]]+Table1[[#This Row],[P]])/Table1[[#This Row],[K]])
)</f>
        <v>-1.950548299816367</v>
      </c>
    </row>
    <row r="73" spans="1:18">
      <c r="A73">
        <v>2</v>
      </c>
      <c r="B73" t="s">
        <v>10</v>
      </c>
      <c r="C73" s="1">
        <v>46133</v>
      </c>
      <c r="D73" t="s">
        <v>11</v>
      </c>
      <c r="E73">
        <v>43</v>
      </c>
      <c r="F73" t="s">
        <v>12</v>
      </c>
      <c r="G73" t="s">
        <v>13</v>
      </c>
      <c r="H73" s="1">
        <v>46136</v>
      </c>
      <c r="I73">
        <v>2.62</v>
      </c>
      <c r="J73">
        <v>1.9750000000000001</v>
      </c>
      <c r="K73">
        <v>75</v>
      </c>
      <c r="L73">
        <v>220</v>
      </c>
      <c r="M73">
        <v>43.160705267238697</v>
      </c>
      <c r="N73">
        <v>1.9319999999999999</v>
      </c>
      <c r="O73">
        <f>(Table1[[#This Row],[P]]&lt;&gt;0)*(Table1[[#This Row],[C]]&lt;&gt;0)</f>
        <v>1</v>
      </c>
      <c r="P73">
        <f>NETWORKDAYS(Table1[[#This Row],[ts_event]],Table1[[#This Row],[option_expiry_date]])</f>
        <v>4</v>
      </c>
      <c r="Q73">
        <f>Table1[[#This Row],[Column2]]/252</f>
        <v>1.5873015873015872E-2</v>
      </c>
      <c r="R73" s="2">
        <f>IF(Table1[[#This Row],[CHECK2]]=0,NA(),
-(1/Table1[[#This Row],[T]])*LN((Table1[[#This Row],[S0]]-Table1[[#This Row],[C]]+Table1[[#This Row],[P]])/Table1[[#This Row],[K]])
)</f>
        <v>-1.1695288782865298</v>
      </c>
    </row>
    <row r="74" spans="1:18">
      <c r="A74">
        <v>1</v>
      </c>
      <c r="B74" t="s">
        <v>10</v>
      </c>
      <c r="C74" s="1">
        <v>46133</v>
      </c>
      <c r="D74" t="s">
        <v>11</v>
      </c>
      <c r="E74">
        <v>44</v>
      </c>
      <c r="F74" t="s">
        <v>12</v>
      </c>
      <c r="G74" t="s">
        <v>13</v>
      </c>
      <c r="H74" s="1">
        <v>46136</v>
      </c>
      <c r="I74">
        <v>0</v>
      </c>
      <c r="J74">
        <v>0.6</v>
      </c>
      <c r="K74">
        <v>0</v>
      </c>
      <c r="L74">
        <v>100</v>
      </c>
      <c r="M74">
        <v>43.160705267238697</v>
      </c>
      <c r="N74">
        <v>1.9319999999999999</v>
      </c>
      <c r="O74">
        <f>(Table1[[#This Row],[P]]&lt;&gt;0)*(Table1[[#This Row],[C]]&lt;&gt;0)</f>
        <v>0</v>
      </c>
      <c r="P74">
        <f>NETWORKDAYS(Table1[[#This Row],[ts_event]],Table1[[#This Row],[option_expiry_date]])</f>
        <v>4</v>
      </c>
      <c r="Q74">
        <f>Table1[[#This Row],[Column2]]/252</f>
        <v>1.5873015873015872E-2</v>
      </c>
      <c r="R74" s="2" t="e">
        <f>IF(Table1[[#This Row],[CHECK2]]=0,NA(),
-(1/Table1[[#This Row],[T]])*LN((Table1[[#This Row],[S0]]-Table1[[#This Row],[C]]+Table1[[#This Row],[P]])/Table1[[#This Row],[K]])
)</f>
        <v>#N/A</v>
      </c>
    </row>
    <row r="75" spans="1:18">
      <c r="A75">
        <v>2</v>
      </c>
      <c r="B75" t="s">
        <v>10</v>
      </c>
      <c r="C75" s="1">
        <v>46133</v>
      </c>
      <c r="D75" t="s">
        <v>11</v>
      </c>
      <c r="E75">
        <v>45</v>
      </c>
      <c r="F75" t="s">
        <v>12</v>
      </c>
      <c r="G75" t="s">
        <v>13</v>
      </c>
      <c r="H75" s="1">
        <v>46136</v>
      </c>
      <c r="I75">
        <v>0</v>
      </c>
      <c r="J75">
        <v>1.0782065217391299</v>
      </c>
      <c r="K75">
        <v>0</v>
      </c>
      <c r="L75">
        <v>4600</v>
      </c>
      <c r="M75">
        <v>43.160705267238697</v>
      </c>
      <c r="N75">
        <v>1.9319999999999999</v>
      </c>
      <c r="O75">
        <f>(Table1[[#This Row],[P]]&lt;&gt;0)*(Table1[[#This Row],[C]]&lt;&gt;0)</f>
        <v>0</v>
      </c>
      <c r="P75">
        <f>NETWORKDAYS(Table1[[#This Row],[ts_event]],Table1[[#This Row],[option_expiry_date]])</f>
        <v>4</v>
      </c>
      <c r="Q75">
        <f>Table1[[#This Row],[Column2]]/252</f>
        <v>1.5873015873015872E-2</v>
      </c>
      <c r="R75" s="2" t="e">
        <f>IF(Table1[[#This Row],[CHECK2]]=0,NA(),
-(1/Table1[[#This Row],[T]])*LN((Table1[[#This Row],[S0]]-Table1[[#This Row],[C]]+Table1[[#This Row],[P]])/Table1[[#This Row],[K]])
)</f>
        <v>#N/A</v>
      </c>
    </row>
    <row r="76" spans="1:18">
      <c r="A76">
        <v>1</v>
      </c>
      <c r="B76" t="s">
        <v>10</v>
      </c>
      <c r="C76" s="1">
        <v>46133</v>
      </c>
      <c r="D76" t="s">
        <v>11</v>
      </c>
      <c r="E76">
        <v>46</v>
      </c>
      <c r="F76" t="s">
        <v>12</v>
      </c>
      <c r="G76" t="s">
        <v>13</v>
      </c>
      <c r="H76" s="1">
        <v>46136</v>
      </c>
      <c r="I76">
        <v>0</v>
      </c>
      <c r="J76">
        <v>0.85499999999999998</v>
      </c>
      <c r="K76">
        <v>0</v>
      </c>
      <c r="L76">
        <v>600</v>
      </c>
      <c r="M76">
        <v>43.160705267238697</v>
      </c>
      <c r="N76">
        <v>1.9319999999999999</v>
      </c>
      <c r="O76">
        <f>(Table1[[#This Row],[P]]&lt;&gt;0)*(Table1[[#This Row],[C]]&lt;&gt;0)</f>
        <v>0</v>
      </c>
      <c r="P76">
        <f>NETWORKDAYS(Table1[[#This Row],[ts_event]],Table1[[#This Row],[option_expiry_date]])</f>
        <v>4</v>
      </c>
      <c r="Q76">
        <f>Table1[[#This Row],[Column2]]/252</f>
        <v>1.5873015873015872E-2</v>
      </c>
      <c r="R76" s="2" t="e">
        <f>IF(Table1[[#This Row],[CHECK2]]=0,NA(),
-(1/Table1[[#This Row],[T]])*LN((Table1[[#This Row],[S0]]-Table1[[#This Row],[C]]+Table1[[#This Row],[P]])/Table1[[#This Row],[K]])
)</f>
        <v>#N/A</v>
      </c>
    </row>
    <row r="77" spans="1:18">
      <c r="A77">
        <v>1</v>
      </c>
      <c r="B77" t="s">
        <v>10</v>
      </c>
      <c r="C77" s="1">
        <v>46133</v>
      </c>
      <c r="D77" t="s">
        <v>11</v>
      </c>
      <c r="E77">
        <v>47</v>
      </c>
      <c r="F77" t="s">
        <v>12</v>
      </c>
      <c r="G77" t="s">
        <v>13</v>
      </c>
      <c r="H77" s="1">
        <v>46136</v>
      </c>
      <c r="I77">
        <v>0</v>
      </c>
      <c r="J77">
        <v>0.32500000000000001</v>
      </c>
      <c r="K77">
        <v>0</v>
      </c>
      <c r="L77">
        <v>200</v>
      </c>
      <c r="M77">
        <v>43.160705267238697</v>
      </c>
      <c r="N77">
        <v>1.9319999999999999</v>
      </c>
      <c r="O77">
        <f>(Table1[[#This Row],[P]]&lt;&gt;0)*(Table1[[#This Row],[C]]&lt;&gt;0)</f>
        <v>0</v>
      </c>
      <c r="P77">
        <f>NETWORKDAYS(Table1[[#This Row],[ts_event]],Table1[[#This Row],[option_expiry_date]])</f>
        <v>4</v>
      </c>
      <c r="Q77">
        <f>Table1[[#This Row],[Column2]]/252</f>
        <v>1.5873015873015872E-2</v>
      </c>
      <c r="R77" s="2" t="e">
        <f>IF(Table1[[#This Row],[CHECK2]]=0,NA(),
-(1/Table1[[#This Row],[T]])*LN((Table1[[#This Row],[S0]]-Table1[[#This Row],[C]]+Table1[[#This Row],[P]])/Table1[[#This Row],[K]])
)</f>
        <v>#N/A</v>
      </c>
    </row>
    <row r="78" spans="1:18">
      <c r="A78">
        <v>2</v>
      </c>
      <c r="B78" t="s">
        <v>10</v>
      </c>
      <c r="C78" s="1">
        <v>46133</v>
      </c>
      <c r="D78" t="s">
        <v>11</v>
      </c>
      <c r="E78">
        <v>48</v>
      </c>
      <c r="F78" t="s">
        <v>12</v>
      </c>
      <c r="G78" t="s">
        <v>13</v>
      </c>
      <c r="H78" s="1">
        <v>46136</v>
      </c>
      <c r="I78">
        <v>0</v>
      </c>
      <c r="J78">
        <v>0.60294117647058798</v>
      </c>
      <c r="K78">
        <v>0</v>
      </c>
      <c r="L78">
        <v>1020</v>
      </c>
      <c r="M78">
        <v>43.160705267238697</v>
      </c>
      <c r="N78">
        <v>1.9319999999999999</v>
      </c>
      <c r="O78">
        <f>(Table1[[#This Row],[P]]&lt;&gt;0)*(Table1[[#This Row],[C]]&lt;&gt;0)</f>
        <v>0</v>
      </c>
      <c r="P78">
        <f>NETWORKDAYS(Table1[[#This Row],[ts_event]],Table1[[#This Row],[option_expiry_date]])</f>
        <v>4</v>
      </c>
      <c r="Q78">
        <f>Table1[[#This Row],[Column2]]/252</f>
        <v>1.5873015873015872E-2</v>
      </c>
      <c r="R78" s="2" t="e">
        <f>IF(Table1[[#This Row],[CHECK2]]=0,NA(),
-(1/Table1[[#This Row],[T]])*LN((Table1[[#This Row],[S0]]-Table1[[#This Row],[C]]+Table1[[#This Row],[P]])/Table1[[#This Row],[K]])
)</f>
        <v>#N/A</v>
      </c>
    </row>
    <row r="79" spans="1:18">
      <c r="A79">
        <v>1</v>
      </c>
      <c r="B79" t="s">
        <v>10</v>
      </c>
      <c r="C79" s="1">
        <v>46133</v>
      </c>
      <c r="D79" t="s">
        <v>11</v>
      </c>
      <c r="E79">
        <v>49</v>
      </c>
      <c r="F79" t="s">
        <v>12</v>
      </c>
      <c r="G79" t="s">
        <v>13</v>
      </c>
      <c r="H79" s="1">
        <v>46136</v>
      </c>
      <c r="I79">
        <v>0</v>
      </c>
      <c r="J79">
        <v>0.88500000000000001</v>
      </c>
      <c r="K79">
        <v>0</v>
      </c>
      <c r="L79">
        <v>35</v>
      </c>
      <c r="M79">
        <v>43.160705267238697</v>
      </c>
      <c r="N79">
        <v>1.9319999999999999</v>
      </c>
      <c r="O79">
        <f>(Table1[[#This Row],[P]]&lt;&gt;0)*(Table1[[#This Row],[C]]&lt;&gt;0)</f>
        <v>0</v>
      </c>
      <c r="P79">
        <f>NETWORKDAYS(Table1[[#This Row],[ts_event]],Table1[[#This Row],[option_expiry_date]])</f>
        <v>4</v>
      </c>
      <c r="Q79">
        <f>Table1[[#This Row],[Column2]]/252</f>
        <v>1.5873015873015872E-2</v>
      </c>
      <c r="R79" s="2" t="e">
        <f>IF(Table1[[#This Row],[CHECK2]]=0,NA(),
-(1/Table1[[#This Row],[T]])*LN((Table1[[#This Row],[S0]]-Table1[[#This Row],[C]]+Table1[[#This Row],[P]])/Table1[[#This Row],[K]])
)</f>
        <v>#N/A</v>
      </c>
    </row>
    <row r="80" spans="1:18">
      <c r="A80">
        <v>2</v>
      </c>
      <c r="B80" t="s">
        <v>10</v>
      </c>
      <c r="C80" s="1">
        <v>46133</v>
      </c>
      <c r="D80" t="s">
        <v>11</v>
      </c>
      <c r="E80">
        <v>50</v>
      </c>
      <c r="F80" t="s">
        <v>12</v>
      </c>
      <c r="G80" t="s">
        <v>13</v>
      </c>
      <c r="H80" s="1">
        <v>46136</v>
      </c>
      <c r="I80">
        <v>0</v>
      </c>
      <c r="J80">
        <v>0.65145038167938896</v>
      </c>
      <c r="K80">
        <v>0</v>
      </c>
      <c r="L80">
        <v>6550</v>
      </c>
      <c r="M80">
        <v>43.160705267238697</v>
      </c>
      <c r="N80">
        <v>1.9319999999999999</v>
      </c>
      <c r="O80">
        <f>(Table1[[#This Row],[P]]&lt;&gt;0)*(Table1[[#This Row],[C]]&lt;&gt;0)</f>
        <v>0</v>
      </c>
      <c r="P80">
        <f>NETWORKDAYS(Table1[[#This Row],[ts_event]],Table1[[#This Row],[option_expiry_date]])</f>
        <v>4</v>
      </c>
      <c r="Q80">
        <f>Table1[[#This Row],[Column2]]/252</f>
        <v>1.5873015873015872E-2</v>
      </c>
      <c r="R80" s="2" t="e">
        <f>IF(Table1[[#This Row],[CHECK2]]=0,NA(),
-(1/Table1[[#This Row],[T]])*LN((Table1[[#This Row],[S0]]-Table1[[#This Row],[C]]+Table1[[#This Row],[P]])/Table1[[#This Row],[K]])
)</f>
        <v>#N/A</v>
      </c>
    </row>
    <row r="81" spans="1:18">
      <c r="A81">
        <v>1</v>
      </c>
      <c r="B81" t="s">
        <v>10</v>
      </c>
      <c r="C81" s="1">
        <v>46133</v>
      </c>
      <c r="D81" t="s">
        <v>11</v>
      </c>
      <c r="E81">
        <v>52</v>
      </c>
      <c r="F81" t="s">
        <v>12</v>
      </c>
      <c r="G81" t="s">
        <v>13</v>
      </c>
      <c r="H81" s="1">
        <v>46136</v>
      </c>
      <c r="I81">
        <v>0</v>
      </c>
      <c r="J81">
        <v>0.25</v>
      </c>
      <c r="K81">
        <v>0</v>
      </c>
      <c r="L81">
        <v>200</v>
      </c>
      <c r="M81">
        <v>43.160705267238697</v>
      </c>
      <c r="N81">
        <v>1.9319999999999999</v>
      </c>
      <c r="O81">
        <f>(Table1[[#This Row],[P]]&lt;&gt;0)*(Table1[[#This Row],[C]]&lt;&gt;0)</f>
        <v>0</v>
      </c>
      <c r="P81">
        <f>NETWORKDAYS(Table1[[#This Row],[ts_event]],Table1[[#This Row],[option_expiry_date]])</f>
        <v>4</v>
      </c>
      <c r="Q81">
        <f>Table1[[#This Row],[Column2]]/252</f>
        <v>1.5873015873015872E-2</v>
      </c>
      <c r="R81" s="2" t="e">
        <f>IF(Table1[[#This Row],[CHECK2]]=0,NA(),
-(1/Table1[[#This Row],[T]])*LN((Table1[[#This Row],[S0]]-Table1[[#This Row],[C]]+Table1[[#This Row],[P]])/Table1[[#This Row],[K]])
)</f>
        <v>#N/A</v>
      </c>
    </row>
    <row r="82" spans="1:18">
      <c r="A82">
        <v>1</v>
      </c>
      <c r="B82" t="s">
        <v>10</v>
      </c>
      <c r="C82" s="1">
        <v>46133</v>
      </c>
      <c r="D82" t="s">
        <v>11</v>
      </c>
      <c r="E82">
        <v>55</v>
      </c>
      <c r="F82" t="s">
        <v>12</v>
      </c>
      <c r="G82" t="s">
        <v>13</v>
      </c>
      <c r="H82" s="1">
        <v>46136</v>
      </c>
      <c r="I82">
        <v>0</v>
      </c>
      <c r="J82">
        <v>0.23</v>
      </c>
      <c r="K82">
        <v>0</v>
      </c>
      <c r="L82">
        <v>1200</v>
      </c>
      <c r="M82">
        <v>43.160705267238697</v>
      </c>
      <c r="N82">
        <v>1.9319999999999999</v>
      </c>
      <c r="O82">
        <f>(Table1[[#This Row],[P]]&lt;&gt;0)*(Table1[[#This Row],[C]]&lt;&gt;0)</f>
        <v>0</v>
      </c>
      <c r="P82">
        <f>NETWORKDAYS(Table1[[#This Row],[ts_event]],Table1[[#This Row],[option_expiry_date]])</f>
        <v>4</v>
      </c>
      <c r="Q82">
        <f>Table1[[#This Row],[Column2]]/252</f>
        <v>1.5873015873015872E-2</v>
      </c>
      <c r="R82" s="2" t="e">
        <f>IF(Table1[[#This Row],[CHECK2]]=0,NA(),
-(1/Table1[[#This Row],[T]])*LN((Table1[[#This Row],[S0]]-Table1[[#This Row],[C]]+Table1[[#This Row],[P]])/Table1[[#This Row],[K]])
)</f>
        <v>#N/A</v>
      </c>
    </row>
    <row r="83" spans="1:18">
      <c r="A83">
        <v>2</v>
      </c>
      <c r="B83" t="s">
        <v>10</v>
      </c>
      <c r="C83" s="1">
        <v>46133</v>
      </c>
      <c r="D83" t="s">
        <v>11</v>
      </c>
      <c r="E83">
        <v>60</v>
      </c>
      <c r="F83" t="s">
        <v>12</v>
      </c>
      <c r="G83" t="s">
        <v>13</v>
      </c>
      <c r="H83" s="1">
        <v>46136</v>
      </c>
      <c r="I83">
        <v>0</v>
      </c>
      <c r="J83">
        <v>0.13782608695652099</v>
      </c>
      <c r="K83">
        <v>0</v>
      </c>
      <c r="L83">
        <v>1150</v>
      </c>
      <c r="M83">
        <v>43.160705267238697</v>
      </c>
      <c r="N83">
        <v>1.9319999999999999</v>
      </c>
      <c r="O83">
        <f>(Table1[[#This Row],[P]]&lt;&gt;0)*(Table1[[#This Row],[C]]&lt;&gt;0)</f>
        <v>0</v>
      </c>
      <c r="P83">
        <f>NETWORKDAYS(Table1[[#This Row],[ts_event]],Table1[[#This Row],[option_expiry_date]])</f>
        <v>4</v>
      </c>
      <c r="Q83">
        <f>Table1[[#This Row],[Column2]]/252</f>
        <v>1.5873015873015872E-2</v>
      </c>
      <c r="R83" s="2" t="e">
        <f>IF(Table1[[#This Row],[CHECK2]]=0,NA(),
-(1/Table1[[#This Row],[T]])*LN((Table1[[#This Row],[S0]]-Table1[[#This Row],[C]]+Table1[[#This Row],[P]])/Table1[[#This Row],[K]])
)</f>
        <v>#N/A</v>
      </c>
    </row>
    <row r="84" spans="1:18">
      <c r="A84">
        <v>1</v>
      </c>
      <c r="B84" t="s">
        <v>10</v>
      </c>
      <c r="C84" s="1">
        <v>46133</v>
      </c>
      <c r="D84" t="s">
        <v>11</v>
      </c>
      <c r="E84">
        <v>80</v>
      </c>
      <c r="F84" t="s">
        <v>12</v>
      </c>
      <c r="G84" t="s">
        <v>13</v>
      </c>
      <c r="H84" s="1">
        <v>46136</v>
      </c>
      <c r="I84">
        <v>0</v>
      </c>
      <c r="J84">
        <v>0.01</v>
      </c>
      <c r="K84">
        <v>0</v>
      </c>
      <c r="L84">
        <v>100</v>
      </c>
      <c r="M84">
        <v>43.160705267238697</v>
      </c>
      <c r="N84">
        <v>1.9319999999999999</v>
      </c>
      <c r="O84">
        <f>(Table1[[#This Row],[P]]&lt;&gt;0)*(Table1[[#This Row],[C]]&lt;&gt;0)</f>
        <v>0</v>
      </c>
      <c r="P84">
        <f>NETWORKDAYS(Table1[[#This Row],[ts_event]],Table1[[#This Row],[option_expiry_date]])</f>
        <v>4</v>
      </c>
      <c r="Q84">
        <f>Table1[[#This Row],[Column2]]/252</f>
        <v>1.5873015873015872E-2</v>
      </c>
      <c r="R84" s="2" t="e">
        <f>IF(Table1[[#This Row],[CHECK2]]=0,NA(),
-(1/Table1[[#This Row],[T]])*LN((Table1[[#This Row],[S0]]-Table1[[#This Row],[C]]+Table1[[#This Row],[P]])/Table1[[#This Row],[K]])
)</f>
        <v>#N/A</v>
      </c>
    </row>
    <row r="85" spans="1:18">
      <c r="A85">
        <v>2</v>
      </c>
      <c r="B85" t="s">
        <v>10</v>
      </c>
      <c r="C85" s="1">
        <v>46133</v>
      </c>
      <c r="D85" t="s">
        <v>14</v>
      </c>
      <c r="E85">
        <v>30</v>
      </c>
      <c r="F85" t="s">
        <v>12</v>
      </c>
      <c r="G85" t="s">
        <v>13</v>
      </c>
      <c r="H85" s="1">
        <v>46169</v>
      </c>
      <c r="I85">
        <v>0.32954545454545398</v>
      </c>
      <c r="J85">
        <v>0</v>
      </c>
      <c r="K85">
        <v>550</v>
      </c>
      <c r="L85">
        <v>0</v>
      </c>
      <c r="M85">
        <v>43.158974502661799</v>
      </c>
      <c r="N85">
        <v>1.9319999999999999</v>
      </c>
      <c r="O85">
        <f>(Table1[[#This Row],[P]]&lt;&gt;0)*(Table1[[#This Row],[C]]&lt;&gt;0)</f>
        <v>0</v>
      </c>
      <c r="P85">
        <f>NETWORKDAYS(Table1[[#This Row],[ts_event]],Table1[[#This Row],[option_expiry_date]])</f>
        <v>27</v>
      </c>
      <c r="Q85">
        <f>Table1[[#This Row],[Column2]]/252</f>
        <v>0.10714285714285714</v>
      </c>
      <c r="R85" s="2" t="e">
        <f>IF(Table1[[#This Row],[CHECK2]]=0,NA(),
-(1/Table1[[#This Row],[T]])*LN((Table1[[#This Row],[S0]]-Table1[[#This Row],[C]]+Table1[[#This Row],[P]])/Table1[[#This Row],[K]])
)</f>
        <v>#N/A</v>
      </c>
    </row>
    <row r="86" spans="1:18">
      <c r="A86">
        <v>1</v>
      </c>
      <c r="B86" t="s">
        <v>10</v>
      </c>
      <c r="C86" s="1">
        <v>46133</v>
      </c>
      <c r="D86" t="s">
        <v>14</v>
      </c>
      <c r="E86">
        <v>32</v>
      </c>
      <c r="F86" t="s">
        <v>12</v>
      </c>
      <c r="G86" t="s">
        <v>13</v>
      </c>
      <c r="H86" s="1">
        <v>46169</v>
      </c>
      <c r="I86">
        <v>0.6</v>
      </c>
      <c r="J86">
        <v>0</v>
      </c>
      <c r="K86">
        <v>1250</v>
      </c>
      <c r="L86">
        <v>0</v>
      </c>
      <c r="M86">
        <v>43.158974502661799</v>
      </c>
      <c r="N86">
        <v>1.9319999999999999</v>
      </c>
      <c r="O86">
        <f>(Table1[[#This Row],[P]]&lt;&gt;0)*(Table1[[#This Row],[C]]&lt;&gt;0)</f>
        <v>0</v>
      </c>
      <c r="P86">
        <f>NETWORKDAYS(Table1[[#This Row],[ts_event]],Table1[[#This Row],[option_expiry_date]])</f>
        <v>27</v>
      </c>
      <c r="Q86">
        <f>Table1[[#This Row],[Column2]]/252</f>
        <v>0.10714285714285714</v>
      </c>
      <c r="R86" s="2" t="e">
        <f>IF(Table1[[#This Row],[CHECK2]]=0,NA(),
-(1/Table1[[#This Row],[T]])*LN((Table1[[#This Row],[S0]]-Table1[[#This Row],[C]]+Table1[[#This Row],[P]])/Table1[[#This Row],[K]])
)</f>
        <v>#N/A</v>
      </c>
    </row>
    <row r="87" spans="1:18">
      <c r="A87">
        <v>1</v>
      </c>
      <c r="B87" t="s">
        <v>10</v>
      </c>
      <c r="C87" s="1">
        <v>46133</v>
      </c>
      <c r="D87" t="s">
        <v>14</v>
      </c>
      <c r="E87">
        <v>33</v>
      </c>
      <c r="F87" t="s">
        <v>12</v>
      </c>
      <c r="G87" t="s">
        <v>13</v>
      </c>
      <c r="H87" s="1">
        <v>46169</v>
      </c>
      <c r="I87">
        <v>1.02</v>
      </c>
      <c r="J87">
        <v>0</v>
      </c>
      <c r="K87">
        <v>250</v>
      </c>
      <c r="L87">
        <v>0</v>
      </c>
      <c r="M87">
        <v>43.158974502661799</v>
      </c>
      <c r="N87">
        <v>1.9319999999999999</v>
      </c>
      <c r="O87">
        <f>(Table1[[#This Row],[P]]&lt;&gt;0)*(Table1[[#This Row],[C]]&lt;&gt;0)</f>
        <v>0</v>
      </c>
      <c r="P87">
        <f>NETWORKDAYS(Table1[[#This Row],[ts_event]],Table1[[#This Row],[option_expiry_date]])</f>
        <v>27</v>
      </c>
      <c r="Q87">
        <f>Table1[[#This Row],[Column2]]/252</f>
        <v>0.10714285714285714</v>
      </c>
      <c r="R87" s="2" t="e">
        <f>IF(Table1[[#This Row],[CHECK2]]=0,NA(),
-(1/Table1[[#This Row],[T]])*LN((Table1[[#This Row],[S0]]-Table1[[#This Row],[C]]+Table1[[#This Row],[P]])/Table1[[#This Row],[K]])
)</f>
        <v>#N/A</v>
      </c>
    </row>
    <row r="88" spans="1:18">
      <c r="A88">
        <v>2</v>
      </c>
      <c r="B88" t="s">
        <v>10</v>
      </c>
      <c r="C88" s="1">
        <v>46133</v>
      </c>
      <c r="D88" t="s">
        <v>14</v>
      </c>
      <c r="E88">
        <v>35</v>
      </c>
      <c r="F88" t="s">
        <v>12</v>
      </c>
      <c r="G88" t="s">
        <v>13</v>
      </c>
      <c r="H88" s="1">
        <v>46169</v>
      </c>
      <c r="I88">
        <v>1.30924686192468</v>
      </c>
      <c r="J88">
        <v>0</v>
      </c>
      <c r="K88">
        <v>1195</v>
      </c>
      <c r="L88">
        <v>0</v>
      </c>
      <c r="M88">
        <v>43.158974502661799</v>
      </c>
      <c r="N88">
        <v>1.9319999999999999</v>
      </c>
      <c r="O88">
        <f>(Table1[[#This Row],[P]]&lt;&gt;0)*(Table1[[#This Row],[C]]&lt;&gt;0)</f>
        <v>0</v>
      </c>
      <c r="P88">
        <f>NETWORKDAYS(Table1[[#This Row],[ts_event]],Table1[[#This Row],[option_expiry_date]])</f>
        <v>27</v>
      </c>
      <c r="Q88">
        <f>Table1[[#This Row],[Column2]]/252</f>
        <v>0.10714285714285714</v>
      </c>
      <c r="R88" s="2" t="e">
        <f>IF(Table1[[#This Row],[CHECK2]]=0,NA(),
-(1/Table1[[#This Row],[T]])*LN((Table1[[#This Row],[S0]]-Table1[[#This Row],[C]]+Table1[[#This Row],[P]])/Table1[[#This Row],[K]])
)</f>
        <v>#N/A</v>
      </c>
    </row>
    <row r="89" spans="1:18">
      <c r="A89">
        <v>1</v>
      </c>
      <c r="B89" t="s">
        <v>10</v>
      </c>
      <c r="C89" s="1">
        <v>46133</v>
      </c>
      <c r="D89" t="s">
        <v>14</v>
      </c>
      <c r="E89">
        <v>37</v>
      </c>
      <c r="F89" t="s">
        <v>12</v>
      </c>
      <c r="G89" t="s">
        <v>13</v>
      </c>
      <c r="H89" s="1">
        <v>46169</v>
      </c>
      <c r="I89">
        <v>1.92</v>
      </c>
      <c r="J89">
        <v>0</v>
      </c>
      <c r="K89">
        <v>1250</v>
      </c>
      <c r="L89">
        <v>0</v>
      </c>
      <c r="M89">
        <v>43.158974502661799</v>
      </c>
      <c r="N89">
        <v>1.9319999999999999</v>
      </c>
      <c r="O89">
        <f>(Table1[[#This Row],[P]]&lt;&gt;0)*(Table1[[#This Row],[C]]&lt;&gt;0)</f>
        <v>0</v>
      </c>
      <c r="P89">
        <f>NETWORKDAYS(Table1[[#This Row],[ts_event]],Table1[[#This Row],[option_expiry_date]])</f>
        <v>27</v>
      </c>
      <c r="Q89">
        <f>Table1[[#This Row],[Column2]]/252</f>
        <v>0.10714285714285714</v>
      </c>
      <c r="R89" s="2" t="e">
        <f>IF(Table1[[#This Row],[CHECK2]]=0,NA(),
-(1/Table1[[#This Row],[T]])*LN((Table1[[#This Row],[S0]]-Table1[[#This Row],[C]]+Table1[[#This Row],[P]])/Table1[[#This Row],[K]])
)</f>
        <v>#N/A</v>
      </c>
    </row>
    <row r="90" spans="1:18">
      <c r="A90">
        <v>1</v>
      </c>
      <c r="B90" t="s">
        <v>10</v>
      </c>
      <c r="C90" s="1">
        <v>46133</v>
      </c>
      <c r="D90" t="s">
        <v>14</v>
      </c>
      <c r="E90">
        <v>38</v>
      </c>
      <c r="F90" t="s">
        <v>12</v>
      </c>
      <c r="G90" t="s">
        <v>13</v>
      </c>
      <c r="H90" s="1">
        <v>46169</v>
      </c>
      <c r="I90">
        <v>2.35</v>
      </c>
      <c r="J90">
        <v>0</v>
      </c>
      <c r="K90">
        <v>300</v>
      </c>
      <c r="L90">
        <v>0</v>
      </c>
      <c r="M90">
        <v>43.158974502661799</v>
      </c>
      <c r="N90">
        <v>1.9319999999999999</v>
      </c>
      <c r="O90">
        <f>(Table1[[#This Row],[P]]&lt;&gt;0)*(Table1[[#This Row],[C]]&lt;&gt;0)</f>
        <v>0</v>
      </c>
      <c r="P90">
        <f>NETWORKDAYS(Table1[[#This Row],[ts_event]],Table1[[#This Row],[option_expiry_date]])</f>
        <v>27</v>
      </c>
      <c r="Q90">
        <f>Table1[[#This Row],[Column2]]/252</f>
        <v>0.10714285714285714</v>
      </c>
      <c r="R90" s="2" t="e">
        <f>IF(Table1[[#This Row],[CHECK2]]=0,NA(),
-(1/Table1[[#This Row],[T]])*LN((Table1[[#This Row],[S0]]-Table1[[#This Row],[C]]+Table1[[#This Row],[P]])/Table1[[#This Row],[K]])
)</f>
        <v>#N/A</v>
      </c>
    </row>
    <row r="91" spans="1:18">
      <c r="A91">
        <v>1</v>
      </c>
      <c r="B91" t="s">
        <v>10</v>
      </c>
      <c r="C91" s="1">
        <v>46133</v>
      </c>
      <c r="D91" t="s">
        <v>14</v>
      </c>
      <c r="E91">
        <v>39</v>
      </c>
      <c r="F91" t="s">
        <v>12</v>
      </c>
      <c r="G91" t="s">
        <v>13</v>
      </c>
      <c r="H91" s="1">
        <v>46169</v>
      </c>
      <c r="I91">
        <v>2.9049999999999998</v>
      </c>
      <c r="J91">
        <v>0</v>
      </c>
      <c r="K91">
        <v>150</v>
      </c>
      <c r="L91">
        <v>0</v>
      </c>
      <c r="M91">
        <v>43.158974502661799</v>
      </c>
      <c r="N91">
        <v>1.9319999999999999</v>
      </c>
      <c r="O91">
        <f>(Table1[[#This Row],[P]]&lt;&gt;0)*(Table1[[#This Row],[C]]&lt;&gt;0)</f>
        <v>0</v>
      </c>
      <c r="P91">
        <f>NETWORKDAYS(Table1[[#This Row],[ts_event]],Table1[[#This Row],[option_expiry_date]])</f>
        <v>27</v>
      </c>
      <c r="Q91">
        <f>Table1[[#This Row],[Column2]]/252</f>
        <v>0.10714285714285714</v>
      </c>
      <c r="R91" s="2" t="e">
        <f>IF(Table1[[#This Row],[CHECK2]]=0,NA(),
-(1/Table1[[#This Row],[T]])*LN((Table1[[#This Row],[S0]]-Table1[[#This Row],[C]]+Table1[[#This Row],[P]])/Table1[[#This Row],[K]])
)</f>
        <v>#N/A</v>
      </c>
    </row>
    <row r="92" spans="1:18">
      <c r="A92">
        <v>2</v>
      </c>
      <c r="B92" t="s">
        <v>10</v>
      </c>
      <c r="C92" s="1">
        <v>46133</v>
      </c>
      <c r="D92" t="s">
        <v>14</v>
      </c>
      <c r="E92">
        <v>40</v>
      </c>
      <c r="F92" t="s">
        <v>12</v>
      </c>
      <c r="G92" t="s">
        <v>13</v>
      </c>
      <c r="H92" s="1">
        <v>46169</v>
      </c>
      <c r="I92">
        <v>3.4</v>
      </c>
      <c r="J92">
        <v>5.1749999999999998</v>
      </c>
      <c r="K92">
        <v>3400</v>
      </c>
      <c r="L92">
        <v>300</v>
      </c>
      <c r="M92">
        <v>43.158974502661799</v>
      </c>
      <c r="N92">
        <v>1.9319999999999999</v>
      </c>
      <c r="O92">
        <f>(Table1[[#This Row],[P]]&lt;&gt;0)*(Table1[[#This Row],[C]]&lt;&gt;0)</f>
        <v>1</v>
      </c>
      <c r="P92">
        <f>NETWORKDAYS(Table1[[#This Row],[ts_event]],Table1[[#This Row],[option_expiry_date]])</f>
        <v>27</v>
      </c>
      <c r="Q92">
        <f>Table1[[#This Row],[Column2]]/252</f>
        <v>0.10714285714285714</v>
      </c>
      <c r="R92" s="2">
        <f>IF(Table1[[#This Row],[CHECK2]]=0,NA(),
-(1/Table1[[#This Row],[T]])*LN((Table1[[#This Row],[S0]]-Table1[[#This Row],[C]]+Table1[[#This Row],[P]])/Table1[[#This Row],[K]])
)</f>
        <v>-0.31746644973158455</v>
      </c>
    </row>
    <row r="93" spans="1:18">
      <c r="A93">
        <v>1</v>
      </c>
      <c r="B93" t="s">
        <v>10</v>
      </c>
      <c r="C93" s="1">
        <v>46133</v>
      </c>
      <c r="D93" t="s">
        <v>14</v>
      </c>
      <c r="E93">
        <v>42</v>
      </c>
      <c r="F93" t="s">
        <v>12</v>
      </c>
      <c r="G93" t="s">
        <v>13</v>
      </c>
      <c r="H93" s="1">
        <v>46169</v>
      </c>
      <c r="I93">
        <v>4.7</v>
      </c>
      <c r="J93">
        <v>0</v>
      </c>
      <c r="K93">
        <v>200</v>
      </c>
      <c r="L93">
        <v>0</v>
      </c>
      <c r="M93">
        <v>43.158974502661799</v>
      </c>
      <c r="N93">
        <v>1.9319999999999999</v>
      </c>
      <c r="O93">
        <f>(Table1[[#This Row],[P]]&lt;&gt;0)*(Table1[[#This Row],[C]]&lt;&gt;0)</f>
        <v>0</v>
      </c>
      <c r="P93">
        <f>NETWORKDAYS(Table1[[#This Row],[ts_event]],Table1[[#This Row],[option_expiry_date]])</f>
        <v>27</v>
      </c>
      <c r="Q93">
        <f>Table1[[#This Row],[Column2]]/252</f>
        <v>0.10714285714285714</v>
      </c>
      <c r="R93" s="2" t="e">
        <f>IF(Table1[[#This Row],[CHECK2]]=0,NA(),
-(1/Table1[[#This Row],[T]])*LN((Table1[[#This Row],[S0]]-Table1[[#This Row],[C]]+Table1[[#This Row],[P]])/Table1[[#This Row],[K]])
)</f>
        <v>#N/A</v>
      </c>
    </row>
    <row r="94" spans="1:18">
      <c r="A94">
        <v>1</v>
      </c>
      <c r="B94" t="s">
        <v>10</v>
      </c>
      <c r="C94" s="1">
        <v>46133</v>
      </c>
      <c r="D94" t="s">
        <v>14</v>
      </c>
      <c r="E94">
        <v>43</v>
      </c>
      <c r="F94" t="s">
        <v>12</v>
      </c>
      <c r="G94" t="s">
        <v>13</v>
      </c>
      <c r="H94" s="1">
        <v>46169</v>
      </c>
      <c r="I94">
        <v>0</v>
      </c>
      <c r="J94">
        <v>4.125</v>
      </c>
      <c r="K94">
        <v>0</v>
      </c>
      <c r="L94">
        <v>125</v>
      </c>
      <c r="M94">
        <v>43.158974502661799</v>
      </c>
      <c r="N94">
        <v>1.9319999999999999</v>
      </c>
      <c r="O94">
        <f>(Table1[[#This Row],[P]]&lt;&gt;0)*(Table1[[#This Row],[C]]&lt;&gt;0)</f>
        <v>0</v>
      </c>
      <c r="P94">
        <f>NETWORKDAYS(Table1[[#This Row],[ts_event]],Table1[[#This Row],[option_expiry_date]])</f>
        <v>27</v>
      </c>
      <c r="Q94">
        <f>Table1[[#This Row],[Column2]]/252</f>
        <v>0.10714285714285714</v>
      </c>
      <c r="R94" s="2" t="e">
        <f>IF(Table1[[#This Row],[CHECK2]]=0,NA(),
-(1/Table1[[#This Row],[T]])*LN((Table1[[#This Row],[S0]]-Table1[[#This Row],[C]]+Table1[[#This Row],[P]])/Table1[[#This Row],[K]])
)</f>
        <v>#N/A</v>
      </c>
    </row>
    <row r="95" spans="1:18">
      <c r="A95">
        <v>1</v>
      </c>
      <c r="B95" t="s">
        <v>10</v>
      </c>
      <c r="C95" s="1">
        <v>46133</v>
      </c>
      <c r="D95" t="s">
        <v>14</v>
      </c>
      <c r="E95">
        <v>45</v>
      </c>
      <c r="F95" t="s">
        <v>12</v>
      </c>
      <c r="G95" t="s">
        <v>13</v>
      </c>
      <c r="H95" s="1">
        <v>46169</v>
      </c>
      <c r="I95">
        <v>0</v>
      </c>
      <c r="J95">
        <v>3.7</v>
      </c>
      <c r="K95">
        <v>0</v>
      </c>
      <c r="L95">
        <v>2650</v>
      </c>
      <c r="M95">
        <v>43.158974502661799</v>
      </c>
      <c r="N95">
        <v>1.9319999999999999</v>
      </c>
      <c r="O95">
        <f>(Table1[[#This Row],[P]]&lt;&gt;0)*(Table1[[#This Row],[C]]&lt;&gt;0)</f>
        <v>0</v>
      </c>
      <c r="P95">
        <f>NETWORKDAYS(Table1[[#This Row],[ts_event]],Table1[[#This Row],[option_expiry_date]])</f>
        <v>27</v>
      </c>
      <c r="Q95">
        <f>Table1[[#This Row],[Column2]]/252</f>
        <v>0.10714285714285714</v>
      </c>
      <c r="R95" s="2" t="e">
        <f>IF(Table1[[#This Row],[CHECK2]]=0,NA(),
-(1/Table1[[#This Row],[T]])*LN((Table1[[#This Row],[S0]]-Table1[[#This Row],[C]]+Table1[[#This Row],[P]])/Table1[[#This Row],[K]])
)</f>
        <v>#N/A</v>
      </c>
    </row>
    <row r="96" spans="1:18">
      <c r="A96">
        <v>1</v>
      </c>
      <c r="B96" t="s">
        <v>10</v>
      </c>
      <c r="C96" s="1">
        <v>46133</v>
      </c>
      <c r="D96" t="s">
        <v>14</v>
      </c>
      <c r="E96">
        <v>48</v>
      </c>
      <c r="F96" t="s">
        <v>12</v>
      </c>
      <c r="G96" t="s">
        <v>13</v>
      </c>
      <c r="H96" s="1">
        <v>46169</v>
      </c>
      <c r="I96">
        <v>0</v>
      </c>
      <c r="J96">
        <v>1.88</v>
      </c>
      <c r="K96">
        <v>0</v>
      </c>
      <c r="L96">
        <v>100</v>
      </c>
      <c r="M96">
        <v>43.158974502661799</v>
      </c>
      <c r="N96">
        <v>1.9319999999999999</v>
      </c>
      <c r="O96">
        <f>(Table1[[#This Row],[P]]&lt;&gt;0)*(Table1[[#This Row],[C]]&lt;&gt;0)</f>
        <v>0</v>
      </c>
      <c r="P96">
        <f>NETWORKDAYS(Table1[[#This Row],[ts_event]],Table1[[#This Row],[option_expiry_date]])</f>
        <v>27</v>
      </c>
      <c r="Q96">
        <f>Table1[[#This Row],[Column2]]/252</f>
        <v>0.10714285714285714</v>
      </c>
      <c r="R96" s="2" t="e">
        <f>IF(Table1[[#This Row],[CHECK2]]=0,NA(),
-(1/Table1[[#This Row],[T]])*LN((Table1[[#This Row],[S0]]-Table1[[#This Row],[C]]+Table1[[#This Row],[P]])/Table1[[#This Row],[K]])
)</f>
        <v>#N/A</v>
      </c>
    </row>
    <row r="97" spans="1:18">
      <c r="A97">
        <v>2</v>
      </c>
      <c r="B97" t="s">
        <v>10</v>
      </c>
      <c r="C97" s="1">
        <v>46133</v>
      </c>
      <c r="D97" t="s">
        <v>14</v>
      </c>
      <c r="E97">
        <v>50</v>
      </c>
      <c r="F97" t="s">
        <v>12</v>
      </c>
      <c r="G97" t="s">
        <v>13</v>
      </c>
      <c r="H97" s="1">
        <v>46169</v>
      </c>
      <c r="I97">
        <v>10.52</v>
      </c>
      <c r="J97">
        <v>2.44</v>
      </c>
      <c r="K97">
        <v>1100</v>
      </c>
      <c r="L97">
        <v>2600</v>
      </c>
      <c r="M97">
        <v>43.158974502661799</v>
      </c>
      <c r="N97">
        <v>1.9319999999999999</v>
      </c>
      <c r="O97">
        <f>(Table1[[#This Row],[P]]&lt;&gt;0)*(Table1[[#This Row],[C]]&lt;&gt;0)</f>
        <v>1</v>
      </c>
      <c r="P97">
        <f>NETWORKDAYS(Table1[[#This Row],[ts_event]],Table1[[#This Row],[option_expiry_date]])</f>
        <v>27</v>
      </c>
      <c r="Q97">
        <f>Table1[[#This Row],[Column2]]/252</f>
        <v>0.10714285714285714</v>
      </c>
      <c r="R97" s="2">
        <f>IF(Table1[[#This Row],[CHECK2]]=0,NA(),
-(1/Table1[[#This Row],[T]])*LN((Table1[[#This Row],[S0]]-Table1[[#This Row],[C]]+Table1[[#This Row],[P]])/Table1[[#This Row],[K]])
)</f>
        <v>-0.22845627271467558</v>
      </c>
    </row>
    <row r="98" spans="1:18">
      <c r="A98">
        <v>1</v>
      </c>
      <c r="B98" t="s">
        <v>10</v>
      </c>
      <c r="C98" s="1">
        <v>46133</v>
      </c>
      <c r="D98" t="s">
        <v>14</v>
      </c>
      <c r="E98">
        <v>55</v>
      </c>
      <c r="F98" t="s">
        <v>12</v>
      </c>
      <c r="G98" t="s">
        <v>13</v>
      </c>
      <c r="H98" s="1">
        <v>46169</v>
      </c>
      <c r="I98">
        <v>0</v>
      </c>
      <c r="J98">
        <v>2.0249999999999999</v>
      </c>
      <c r="K98">
        <v>0</v>
      </c>
      <c r="L98">
        <v>550</v>
      </c>
      <c r="M98">
        <v>43.158974502661799</v>
      </c>
      <c r="N98">
        <v>1.9319999999999999</v>
      </c>
      <c r="O98">
        <f>(Table1[[#This Row],[P]]&lt;&gt;0)*(Table1[[#This Row],[C]]&lt;&gt;0)</f>
        <v>0</v>
      </c>
      <c r="P98">
        <f>NETWORKDAYS(Table1[[#This Row],[ts_event]],Table1[[#This Row],[option_expiry_date]])</f>
        <v>27</v>
      </c>
      <c r="Q98">
        <f>Table1[[#This Row],[Column2]]/252</f>
        <v>0.10714285714285714</v>
      </c>
      <c r="R98" s="2" t="e">
        <f>IF(Table1[[#This Row],[CHECK2]]=0,NA(),
-(1/Table1[[#This Row],[T]])*LN((Table1[[#This Row],[S0]]-Table1[[#This Row],[C]]+Table1[[#This Row],[P]])/Table1[[#This Row],[K]])
)</f>
        <v>#N/A</v>
      </c>
    </row>
    <row r="99" spans="1:18">
      <c r="A99">
        <v>2</v>
      </c>
      <c r="B99" t="s">
        <v>10</v>
      </c>
      <c r="C99" s="1">
        <v>46133</v>
      </c>
      <c r="D99" t="s">
        <v>14</v>
      </c>
      <c r="E99">
        <v>60</v>
      </c>
      <c r="F99" t="s">
        <v>12</v>
      </c>
      <c r="G99" t="s">
        <v>13</v>
      </c>
      <c r="H99" s="1">
        <v>46169</v>
      </c>
      <c r="I99">
        <v>0</v>
      </c>
      <c r="J99">
        <v>0.94</v>
      </c>
      <c r="K99">
        <v>0</v>
      </c>
      <c r="L99">
        <v>500</v>
      </c>
      <c r="M99">
        <v>43.158974502661799</v>
      </c>
      <c r="N99">
        <v>1.9319999999999999</v>
      </c>
      <c r="O99">
        <f>(Table1[[#This Row],[P]]&lt;&gt;0)*(Table1[[#This Row],[C]]&lt;&gt;0)</f>
        <v>0</v>
      </c>
      <c r="P99">
        <f>NETWORKDAYS(Table1[[#This Row],[ts_event]],Table1[[#This Row],[option_expiry_date]])</f>
        <v>27</v>
      </c>
      <c r="Q99">
        <f>Table1[[#This Row],[Column2]]/252</f>
        <v>0.10714285714285714</v>
      </c>
      <c r="R99" s="2" t="e">
        <f>IF(Table1[[#This Row],[CHECK2]]=0,NA(),
-(1/Table1[[#This Row],[T]])*LN((Table1[[#This Row],[S0]]-Table1[[#This Row],[C]]+Table1[[#This Row],[P]])/Table1[[#This Row],[K]])
)</f>
        <v>#N/A</v>
      </c>
    </row>
    <row r="100" spans="1:18">
      <c r="A100">
        <v>1</v>
      </c>
      <c r="B100" t="s">
        <v>10</v>
      </c>
      <c r="C100" s="1">
        <v>46133</v>
      </c>
      <c r="D100" t="s">
        <v>14</v>
      </c>
      <c r="E100">
        <v>65</v>
      </c>
      <c r="F100" t="s">
        <v>12</v>
      </c>
      <c r="G100" t="s">
        <v>13</v>
      </c>
      <c r="H100" s="1">
        <v>46169</v>
      </c>
      <c r="I100">
        <v>0</v>
      </c>
      <c r="J100">
        <v>1.1000000000000001</v>
      </c>
      <c r="K100">
        <v>0</v>
      </c>
      <c r="L100">
        <v>700</v>
      </c>
      <c r="M100">
        <v>43.158974502661799</v>
      </c>
      <c r="N100">
        <v>1.9319999999999999</v>
      </c>
      <c r="O100">
        <f>(Table1[[#This Row],[P]]&lt;&gt;0)*(Table1[[#This Row],[C]]&lt;&gt;0)</f>
        <v>0</v>
      </c>
      <c r="P100">
        <f>NETWORKDAYS(Table1[[#This Row],[ts_event]],Table1[[#This Row],[option_expiry_date]])</f>
        <v>27</v>
      </c>
      <c r="Q100">
        <f>Table1[[#This Row],[Column2]]/252</f>
        <v>0.10714285714285714</v>
      </c>
      <c r="R100" s="2" t="e">
        <f>IF(Table1[[#This Row],[CHECK2]]=0,NA(),
-(1/Table1[[#This Row],[T]])*LN((Table1[[#This Row],[S0]]-Table1[[#This Row],[C]]+Table1[[#This Row],[P]])/Table1[[#This Row],[K]])
)</f>
        <v>#N/A</v>
      </c>
    </row>
    <row r="101" spans="1:18">
      <c r="A101">
        <v>1</v>
      </c>
      <c r="B101" t="s">
        <v>10</v>
      </c>
      <c r="C101" s="1">
        <v>46133</v>
      </c>
      <c r="D101" t="s">
        <v>14</v>
      </c>
      <c r="E101">
        <v>70</v>
      </c>
      <c r="F101" t="s">
        <v>12</v>
      </c>
      <c r="G101" t="s">
        <v>13</v>
      </c>
      <c r="H101" s="1">
        <v>46169</v>
      </c>
      <c r="I101">
        <v>0</v>
      </c>
      <c r="J101">
        <v>0.995</v>
      </c>
      <c r="K101">
        <v>0</v>
      </c>
      <c r="L101">
        <v>50</v>
      </c>
      <c r="M101">
        <v>43.158974502661799</v>
      </c>
      <c r="N101">
        <v>1.9319999999999999</v>
      </c>
      <c r="O101">
        <f>(Table1[[#This Row],[P]]&lt;&gt;0)*(Table1[[#This Row],[C]]&lt;&gt;0)</f>
        <v>0</v>
      </c>
      <c r="P101">
        <f>NETWORKDAYS(Table1[[#This Row],[ts_event]],Table1[[#This Row],[option_expiry_date]])</f>
        <v>27</v>
      </c>
      <c r="Q101">
        <f>Table1[[#This Row],[Column2]]/252</f>
        <v>0.10714285714285714</v>
      </c>
      <c r="R101" s="2" t="e">
        <f>IF(Table1[[#This Row],[CHECK2]]=0,NA(),
-(1/Table1[[#This Row],[T]])*LN((Table1[[#This Row],[S0]]-Table1[[#This Row],[C]]+Table1[[#This Row],[P]])/Table1[[#This Row],[K]])
)</f>
        <v>#N/A</v>
      </c>
    </row>
    <row r="102" spans="1:18">
      <c r="A102">
        <v>1</v>
      </c>
      <c r="B102" t="s">
        <v>10</v>
      </c>
      <c r="C102" s="1">
        <v>46133</v>
      </c>
      <c r="D102" t="s">
        <v>15</v>
      </c>
      <c r="E102">
        <v>30</v>
      </c>
      <c r="F102" t="s">
        <v>12</v>
      </c>
      <c r="G102" t="s">
        <v>13</v>
      </c>
      <c r="H102" s="1">
        <v>46199</v>
      </c>
      <c r="I102">
        <v>0.56000000000000005</v>
      </c>
      <c r="J102">
        <v>0</v>
      </c>
      <c r="K102">
        <v>50</v>
      </c>
      <c r="L102">
        <v>0</v>
      </c>
      <c r="M102">
        <v>43.111389777480902</v>
      </c>
      <c r="N102">
        <v>1.9319999999999999</v>
      </c>
      <c r="O102">
        <f>(Table1[[#This Row],[P]]&lt;&gt;0)*(Table1[[#This Row],[C]]&lt;&gt;0)</f>
        <v>0</v>
      </c>
      <c r="P102">
        <f>NETWORKDAYS(Table1[[#This Row],[ts_event]],Table1[[#This Row],[option_expiry_date]])</f>
        <v>49</v>
      </c>
      <c r="Q102">
        <f>Table1[[#This Row],[Column2]]/252</f>
        <v>0.19444444444444445</v>
      </c>
      <c r="R102" s="2" t="e">
        <f>IF(Table1[[#This Row],[CHECK2]]=0,NA(),
-(1/Table1[[#This Row],[T]])*LN((Table1[[#This Row],[S0]]-Table1[[#This Row],[C]]+Table1[[#This Row],[P]])/Table1[[#This Row],[K]])
)</f>
        <v>#N/A</v>
      </c>
    </row>
    <row r="103" spans="1:18">
      <c r="A103">
        <v>1</v>
      </c>
      <c r="B103" t="s">
        <v>10</v>
      </c>
      <c r="C103" s="1">
        <v>46133</v>
      </c>
      <c r="D103" t="s">
        <v>15</v>
      </c>
      <c r="E103">
        <v>33</v>
      </c>
      <c r="F103" t="s">
        <v>12</v>
      </c>
      <c r="G103" t="s">
        <v>13</v>
      </c>
      <c r="H103" s="1">
        <v>46199</v>
      </c>
      <c r="I103">
        <v>1.34</v>
      </c>
      <c r="J103">
        <v>0</v>
      </c>
      <c r="K103">
        <v>5</v>
      </c>
      <c r="L103">
        <v>0</v>
      </c>
      <c r="M103">
        <v>43.111389777480902</v>
      </c>
      <c r="N103">
        <v>1.9319999999999999</v>
      </c>
      <c r="O103">
        <f>(Table1[[#This Row],[P]]&lt;&gt;0)*(Table1[[#This Row],[C]]&lt;&gt;0)</f>
        <v>0</v>
      </c>
      <c r="P103">
        <f>NETWORKDAYS(Table1[[#This Row],[ts_event]],Table1[[#This Row],[option_expiry_date]])</f>
        <v>49</v>
      </c>
      <c r="Q103">
        <f>Table1[[#This Row],[Column2]]/252</f>
        <v>0.19444444444444445</v>
      </c>
      <c r="R103" s="2" t="e">
        <f>IF(Table1[[#This Row],[CHECK2]]=0,NA(),
-(1/Table1[[#This Row],[T]])*LN((Table1[[#This Row],[S0]]-Table1[[#This Row],[C]]+Table1[[#This Row],[P]])/Table1[[#This Row],[K]])
)</f>
        <v>#N/A</v>
      </c>
    </row>
    <row r="104" spans="1:18">
      <c r="A104">
        <v>1</v>
      </c>
      <c r="B104" t="s">
        <v>10</v>
      </c>
      <c r="C104" s="1">
        <v>46133</v>
      </c>
      <c r="D104" t="s">
        <v>15</v>
      </c>
      <c r="E104">
        <v>45</v>
      </c>
      <c r="F104" t="s">
        <v>12</v>
      </c>
      <c r="G104" t="s">
        <v>13</v>
      </c>
      <c r="H104" s="1">
        <v>46199</v>
      </c>
      <c r="I104">
        <v>0</v>
      </c>
      <c r="J104">
        <v>3.4249999999999998</v>
      </c>
      <c r="K104">
        <v>0</v>
      </c>
      <c r="L104">
        <v>450</v>
      </c>
      <c r="M104">
        <v>43.111389777480902</v>
      </c>
      <c r="N104">
        <v>1.9319999999999999</v>
      </c>
      <c r="O104">
        <f>(Table1[[#This Row],[P]]&lt;&gt;0)*(Table1[[#This Row],[C]]&lt;&gt;0)</f>
        <v>0</v>
      </c>
      <c r="P104">
        <f>NETWORKDAYS(Table1[[#This Row],[ts_event]],Table1[[#This Row],[option_expiry_date]])</f>
        <v>49</v>
      </c>
      <c r="Q104">
        <f>Table1[[#This Row],[Column2]]/252</f>
        <v>0.19444444444444445</v>
      </c>
      <c r="R104" s="2" t="e">
        <f>IF(Table1[[#This Row],[CHECK2]]=0,NA(),
-(1/Table1[[#This Row],[T]])*LN((Table1[[#This Row],[S0]]-Table1[[#This Row],[C]]+Table1[[#This Row],[P]])/Table1[[#This Row],[K]])
)</f>
        <v>#N/A</v>
      </c>
    </row>
    <row r="105" spans="1:18">
      <c r="A105">
        <v>1</v>
      </c>
      <c r="B105" t="s">
        <v>10</v>
      </c>
      <c r="C105" s="1">
        <v>46133</v>
      </c>
      <c r="D105" t="s">
        <v>15</v>
      </c>
      <c r="E105">
        <v>55</v>
      </c>
      <c r="F105" t="s">
        <v>12</v>
      </c>
      <c r="G105" t="s">
        <v>13</v>
      </c>
      <c r="H105" s="1">
        <v>46199</v>
      </c>
      <c r="I105">
        <v>0</v>
      </c>
      <c r="J105">
        <v>1.85</v>
      </c>
      <c r="K105">
        <v>0</v>
      </c>
      <c r="L105">
        <v>125</v>
      </c>
      <c r="M105">
        <v>43.111389777480902</v>
      </c>
      <c r="N105">
        <v>1.9319999999999999</v>
      </c>
      <c r="O105">
        <f>(Table1[[#This Row],[P]]&lt;&gt;0)*(Table1[[#This Row],[C]]&lt;&gt;0)</f>
        <v>0</v>
      </c>
      <c r="P105">
        <f>NETWORKDAYS(Table1[[#This Row],[ts_event]],Table1[[#This Row],[option_expiry_date]])</f>
        <v>49</v>
      </c>
      <c r="Q105">
        <f>Table1[[#This Row],[Column2]]/252</f>
        <v>0.19444444444444445</v>
      </c>
      <c r="R105" s="2" t="e">
        <f>IF(Table1[[#This Row],[CHECK2]]=0,NA(),
-(1/Table1[[#This Row],[T]])*LN((Table1[[#This Row],[S0]]-Table1[[#This Row],[C]]+Table1[[#This Row],[P]])/Table1[[#This Row],[K]])
)</f>
        <v>#N/A</v>
      </c>
    </row>
    <row r="106" spans="1:18">
      <c r="A106">
        <v>1</v>
      </c>
      <c r="B106" t="s">
        <v>10</v>
      </c>
      <c r="C106" s="1">
        <v>46133</v>
      </c>
      <c r="D106" t="s">
        <v>15</v>
      </c>
      <c r="E106">
        <v>70</v>
      </c>
      <c r="F106" t="s">
        <v>12</v>
      </c>
      <c r="G106" t="s">
        <v>13</v>
      </c>
      <c r="H106" s="1">
        <v>46199</v>
      </c>
      <c r="I106">
        <v>0</v>
      </c>
      <c r="J106">
        <v>1.18</v>
      </c>
      <c r="K106">
        <v>0</v>
      </c>
      <c r="L106">
        <v>160</v>
      </c>
      <c r="M106">
        <v>43.111389777480902</v>
      </c>
      <c r="N106">
        <v>1.9319999999999999</v>
      </c>
      <c r="O106">
        <f>(Table1[[#This Row],[P]]&lt;&gt;0)*(Table1[[#This Row],[C]]&lt;&gt;0)</f>
        <v>0</v>
      </c>
      <c r="P106">
        <f>NETWORKDAYS(Table1[[#This Row],[ts_event]],Table1[[#This Row],[option_expiry_date]])</f>
        <v>49</v>
      </c>
      <c r="Q106">
        <f>Table1[[#This Row],[Column2]]/252</f>
        <v>0.19444444444444445</v>
      </c>
      <c r="R106" s="2" t="e">
        <f>IF(Table1[[#This Row],[CHECK2]]=0,NA(),
-(1/Table1[[#This Row],[T]])*LN((Table1[[#This Row],[S0]]-Table1[[#This Row],[C]]+Table1[[#This Row],[P]])/Table1[[#This Row],[K]])
)</f>
        <v>#N/A</v>
      </c>
    </row>
    <row r="107" spans="1:18">
      <c r="A107">
        <v>1</v>
      </c>
      <c r="B107" t="s">
        <v>10</v>
      </c>
      <c r="C107" s="1">
        <v>46133</v>
      </c>
      <c r="D107" t="s">
        <v>16</v>
      </c>
      <c r="E107">
        <v>45</v>
      </c>
      <c r="F107" t="s">
        <v>12</v>
      </c>
      <c r="G107" t="s">
        <v>13</v>
      </c>
      <c r="H107" s="1">
        <v>46230</v>
      </c>
      <c r="I107">
        <v>0</v>
      </c>
      <c r="J107">
        <v>4.3499999999999996</v>
      </c>
      <c r="K107">
        <v>0</v>
      </c>
      <c r="L107">
        <v>450</v>
      </c>
      <c r="M107">
        <v>43.034416685205699</v>
      </c>
      <c r="N107">
        <v>1.9319999999999999</v>
      </c>
      <c r="O107">
        <f>(Table1[[#This Row],[P]]&lt;&gt;0)*(Table1[[#This Row],[C]]&lt;&gt;0)</f>
        <v>0</v>
      </c>
      <c r="P107">
        <f>NETWORKDAYS(Table1[[#This Row],[ts_event]],Table1[[#This Row],[option_expiry_date]])</f>
        <v>70</v>
      </c>
      <c r="Q107">
        <f>Table1[[#This Row],[Column2]]/252</f>
        <v>0.27777777777777779</v>
      </c>
      <c r="R107" s="2" t="e">
        <f>IF(Table1[[#This Row],[CHECK2]]=0,NA(),
-(1/Table1[[#This Row],[T]])*LN((Table1[[#This Row],[S0]]-Table1[[#This Row],[C]]+Table1[[#This Row],[P]])/Table1[[#This Row],[K]])
)</f>
        <v>#N/A</v>
      </c>
    </row>
    <row r="108" spans="1:18">
      <c r="A108">
        <v>1</v>
      </c>
      <c r="B108" t="s">
        <v>10</v>
      </c>
      <c r="C108" s="1">
        <v>46133</v>
      </c>
      <c r="D108" t="s">
        <v>16</v>
      </c>
      <c r="E108">
        <v>55</v>
      </c>
      <c r="F108" t="s">
        <v>12</v>
      </c>
      <c r="G108" t="s">
        <v>13</v>
      </c>
      <c r="H108" s="1">
        <v>46230</v>
      </c>
      <c r="I108">
        <v>0</v>
      </c>
      <c r="J108">
        <v>2.6</v>
      </c>
      <c r="K108">
        <v>0</v>
      </c>
      <c r="L108">
        <v>325</v>
      </c>
      <c r="M108">
        <v>43.034416685205699</v>
      </c>
      <c r="N108">
        <v>1.9319999999999999</v>
      </c>
      <c r="O108">
        <f>(Table1[[#This Row],[P]]&lt;&gt;0)*(Table1[[#This Row],[C]]&lt;&gt;0)</f>
        <v>0</v>
      </c>
      <c r="P108">
        <f>NETWORKDAYS(Table1[[#This Row],[ts_event]],Table1[[#This Row],[option_expiry_date]])</f>
        <v>70</v>
      </c>
      <c r="Q108">
        <f>Table1[[#This Row],[Column2]]/252</f>
        <v>0.27777777777777779</v>
      </c>
      <c r="R108" s="2" t="e">
        <f>IF(Table1[[#This Row],[CHECK2]]=0,NA(),
-(1/Table1[[#This Row],[T]])*LN((Table1[[#This Row],[S0]]-Table1[[#This Row],[C]]+Table1[[#This Row],[P]])/Table1[[#This Row],[K]])
)</f>
        <v>#N/A</v>
      </c>
    </row>
    <row r="109" spans="1:18">
      <c r="A109">
        <v>1</v>
      </c>
      <c r="B109" t="s">
        <v>10</v>
      </c>
      <c r="C109" s="1">
        <v>46133</v>
      </c>
      <c r="D109" t="s">
        <v>18</v>
      </c>
      <c r="E109">
        <v>30</v>
      </c>
      <c r="F109" t="s">
        <v>12</v>
      </c>
      <c r="G109" t="s">
        <v>13</v>
      </c>
      <c r="H109" s="1">
        <v>46290</v>
      </c>
      <c r="I109">
        <v>0.97</v>
      </c>
      <c r="J109">
        <v>0</v>
      </c>
      <c r="K109">
        <v>1075</v>
      </c>
      <c r="L109">
        <v>0</v>
      </c>
      <c r="M109">
        <v>42.8740484608985</v>
      </c>
      <c r="N109">
        <v>1.9319999999999999</v>
      </c>
      <c r="O109">
        <f>(Table1[[#This Row],[P]]&lt;&gt;0)*(Table1[[#This Row],[C]]&lt;&gt;0)</f>
        <v>0</v>
      </c>
      <c r="P109">
        <f>NETWORKDAYS(Table1[[#This Row],[ts_event]],Table1[[#This Row],[option_expiry_date]])</f>
        <v>114</v>
      </c>
      <c r="Q109">
        <f>Table1[[#This Row],[Column2]]/252</f>
        <v>0.45238095238095238</v>
      </c>
      <c r="R109" s="2" t="e">
        <f>IF(Table1[[#This Row],[CHECK2]]=0,NA(),
-(1/Table1[[#This Row],[T]])*LN((Table1[[#This Row],[S0]]-Table1[[#This Row],[C]]+Table1[[#This Row],[P]])/Table1[[#This Row],[K]])
)</f>
        <v>#N/A</v>
      </c>
    </row>
    <row r="110" spans="1:18">
      <c r="A110">
        <v>1</v>
      </c>
      <c r="B110" t="s">
        <v>10</v>
      </c>
      <c r="C110" s="1">
        <v>46133</v>
      </c>
      <c r="D110" t="s">
        <v>18</v>
      </c>
      <c r="E110">
        <v>37</v>
      </c>
      <c r="F110" t="s">
        <v>12</v>
      </c>
      <c r="G110" t="s">
        <v>13</v>
      </c>
      <c r="H110" s="1">
        <v>46290</v>
      </c>
      <c r="I110">
        <v>3.92</v>
      </c>
      <c r="J110">
        <v>0</v>
      </c>
      <c r="K110">
        <v>1250</v>
      </c>
      <c r="L110">
        <v>0</v>
      </c>
      <c r="M110">
        <v>42.8740484608985</v>
      </c>
      <c r="N110">
        <v>1.9319999999999999</v>
      </c>
      <c r="O110">
        <f>(Table1[[#This Row],[P]]&lt;&gt;0)*(Table1[[#This Row],[C]]&lt;&gt;0)</f>
        <v>0</v>
      </c>
      <c r="P110">
        <f>NETWORKDAYS(Table1[[#This Row],[ts_event]],Table1[[#This Row],[option_expiry_date]])</f>
        <v>114</v>
      </c>
      <c r="Q110">
        <f>Table1[[#This Row],[Column2]]/252</f>
        <v>0.45238095238095238</v>
      </c>
      <c r="R110" s="2" t="e">
        <f>IF(Table1[[#This Row],[CHECK2]]=0,NA(),
-(1/Table1[[#This Row],[T]])*LN((Table1[[#This Row],[S0]]-Table1[[#This Row],[C]]+Table1[[#This Row],[P]])/Table1[[#This Row],[K]])
)</f>
        <v>#N/A</v>
      </c>
    </row>
    <row r="111" spans="1:18">
      <c r="A111">
        <v>1</v>
      </c>
      <c r="B111" t="s">
        <v>10</v>
      </c>
      <c r="C111" s="1">
        <v>46133</v>
      </c>
      <c r="D111" t="s">
        <v>18</v>
      </c>
      <c r="E111">
        <v>50</v>
      </c>
      <c r="F111" t="s">
        <v>12</v>
      </c>
      <c r="G111" t="s">
        <v>13</v>
      </c>
      <c r="H111" s="1">
        <v>46290</v>
      </c>
      <c r="I111">
        <v>0</v>
      </c>
      <c r="J111">
        <v>4.75</v>
      </c>
      <c r="K111">
        <v>0</v>
      </c>
      <c r="L111">
        <v>50</v>
      </c>
      <c r="M111">
        <v>42.8740484608985</v>
      </c>
      <c r="N111">
        <v>1.9319999999999999</v>
      </c>
      <c r="O111">
        <f>(Table1[[#This Row],[P]]&lt;&gt;0)*(Table1[[#This Row],[C]]&lt;&gt;0)</f>
        <v>0</v>
      </c>
      <c r="P111">
        <f>NETWORKDAYS(Table1[[#This Row],[ts_event]],Table1[[#This Row],[option_expiry_date]])</f>
        <v>114</v>
      </c>
      <c r="Q111">
        <f>Table1[[#This Row],[Column2]]/252</f>
        <v>0.45238095238095238</v>
      </c>
      <c r="R111" s="2" t="e">
        <f>IF(Table1[[#This Row],[CHECK2]]=0,NA(),
-(1/Table1[[#This Row],[T]])*LN((Table1[[#This Row],[S0]]-Table1[[#This Row],[C]]+Table1[[#This Row],[P]])/Table1[[#This Row],[K]])
)</f>
        <v>#N/A</v>
      </c>
    </row>
    <row r="112" spans="1:18">
      <c r="A112">
        <v>1</v>
      </c>
      <c r="B112" t="s">
        <v>10</v>
      </c>
      <c r="C112" s="1">
        <v>46133</v>
      </c>
      <c r="D112" t="s">
        <v>18</v>
      </c>
      <c r="E112">
        <v>60</v>
      </c>
      <c r="F112" t="s">
        <v>12</v>
      </c>
      <c r="G112" t="s">
        <v>13</v>
      </c>
      <c r="H112" s="1">
        <v>46290</v>
      </c>
      <c r="I112">
        <v>0</v>
      </c>
      <c r="J112">
        <v>3.2749999999999999</v>
      </c>
      <c r="K112">
        <v>0</v>
      </c>
      <c r="L112">
        <v>375</v>
      </c>
      <c r="M112">
        <v>42.8740484608985</v>
      </c>
      <c r="N112">
        <v>1.9319999999999999</v>
      </c>
      <c r="O112">
        <f>(Table1[[#This Row],[P]]&lt;&gt;0)*(Table1[[#This Row],[C]]&lt;&gt;0)</f>
        <v>0</v>
      </c>
      <c r="P112">
        <f>NETWORKDAYS(Table1[[#This Row],[ts_event]],Table1[[#This Row],[option_expiry_date]])</f>
        <v>114</v>
      </c>
      <c r="Q112">
        <f>Table1[[#This Row],[Column2]]/252</f>
        <v>0.45238095238095238</v>
      </c>
      <c r="R112" s="2" t="e">
        <f>IF(Table1[[#This Row],[CHECK2]]=0,NA(),
-(1/Table1[[#This Row],[T]])*LN((Table1[[#This Row],[S0]]-Table1[[#This Row],[C]]+Table1[[#This Row],[P]])/Table1[[#This Row],[K]])
)</f>
        <v>#N/A</v>
      </c>
    </row>
    <row r="113" spans="1:18">
      <c r="A113">
        <v>1</v>
      </c>
      <c r="B113" t="s">
        <v>10</v>
      </c>
      <c r="C113" s="1">
        <v>46133</v>
      </c>
      <c r="D113" t="s">
        <v>20</v>
      </c>
      <c r="E113">
        <v>70</v>
      </c>
      <c r="F113" t="s">
        <v>12</v>
      </c>
      <c r="G113" t="s">
        <v>13</v>
      </c>
      <c r="H113" s="1">
        <v>46352</v>
      </c>
      <c r="I113">
        <v>0</v>
      </c>
      <c r="J113">
        <v>3.85</v>
      </c>
      <c r="K113">
        <v>0</v>
      </c>
      <c r="L113">
        <v>225</v>
      </c>
      <c r="M113">
        <v>42.443903453491302</v>
      </c>
      <c r="N113">
        <v>1.9319999999999999</v>
      </c>
      <c r="O113">
        <f>(Table1[[#This Row],[P]]&lt;&gt;0)*(Table1[[#This Row],[C]]&lt;&gt;0)</f>
        <v>0</v>
      </c>
      <c r="P113">
        <f>NETWORKDAYS(Table1[[#This Row],[ts_event]],Table1[[#This Row],[option_expiry_date]])</f>
        <v>158</v>
      </c>
      <c r="Q113">
        <f>Table1[[#This Row],[Column2]]/252</f>
        <v>0.62698412698412698</v>
      </c>
      <c r="R113" s="2" t="e">
        <f>IF(Table1[[#This Row],[CHECK2]]=0,NA(),
-(1/Table1[[#This Row],[T]])*LN((Table1[[#This Row],[S0]]-Table1[[#This Row],[C]]+Table1[[#This Row],[P]])/Table1[[#This Row],[K]])
)</f>
        <v>#N/A</v>
      </c>
    </row>
    <row r="114" spans="1:18">
      <c r="A114">
        <v>1</v>
      </c>
      <c r="B114" t="s">
        <v>10</v>
      </c>
      <c r="C114" s="1">
        <v>46134</v>
      </c>
      <c r="D114" t="s">
        <v>11</v>
      </c>
      <c r="E114">
        <v>35</v>
      </c>
      <c r="F114" t="s">
        <v>12</v>
      </c>
      <c r="G114" t="s">
        <v>13</v>
      </c>
      <c r="H114" s="1">
        <v>46136</v>
      </c>
      <c r="I114">
        <v>0.05</v>
      </c>
      <c r="J114">
        <v>0</v>
      </c>
      <c r="K114">
        <v>1000</v>
      </c>
      <c r="L114">
        <v>0</v>
      </c>
      <c r="M114">
        <v>44.141454543518002</v>
      </c>
      <c r="N114">
        <v>1.931</v>
      </c>
      <c r="O114">
        <f>(Table1[[#This Row],[P]]&lt;&gt;0)*(Table1[[#This Row],[C]]&lt;&gt;0)</f>
        <v>0</v>
      </c>
      <c r="P114">
        <f>NETWORKDAYS(Table1[[#This Row],[ts_event]],Table1[[#This Row],[option_expiry_date]])</f>
        <v>3</v>
      </c>
      <c r="Q114">
        <f>Table1[[#This Row],[Column2]]/252</f>
        <v>1.1904761904761904E-2</v>
      </c>
      <c r="R114" s="2" t="e">
        <f>IF(Table1[[#This Row],[CHECK2]]=0,NA(),
-(1/Table1[[#This Row],[T]])*LN((Table1[[#This Row],[S0]]-Table1[[#This Row],[C]]+Table1[[#This Row],[P]])/Table1[[#This Row],[K]])
)</f>
        <v>#N/A</v>
      </c>
    </row>
    <row r="115" spans="1:18">
      <c r="A115">
        <v>1</v>
      </c>
      <c r="B115" t="s">
        <v>10</v>
      </c>
      <c r="C115" s="1">
        <v>46134</v>
      </c>
      <c r="D115" t="s">
        <v>11</v>
      </c>
      <c r="E115">
        <v>36</v>
      </c>
      <c r="F115" t="s">
        <v>12</v>
      </c>
      <c r="G115" t="s">
        <v>13</v>
      </c>
      <c r="H115" s="1">
        <v>46136</v>
      </c>
      <c r="I115">
        <v>0.03</v>
      </c>
      <c r="J115">
        <v>0</v>
      </c>
      <c r="K115">
        <v>1225</v>
      </c>
      <c r="L115">
        <v>0</v>
      </c>
      <c r="M115">
        <v>44.141454543518002</v>
      </c>
      <c r="N115">
        <v>1.931</v>
      </c>
      <c r="O115">
        <f>(Table1[[#This Row],[P]]&lt;&gt;0)*(Table1[[#This Row],[C]]&lt;&gt;0)</f>
        <v>0</v>
      </c>
      <c r="P115">
        <f>NETWORKDAYS(Table1[[#This Row],[ts_event]],Table1[[#This Row],[option_expiry_date]])</f>
        <v>3</v>
      </c>
      <c r="Q115">
        <f>Table1[[#This Row],[Column2]]/252</f>
        <v>1.1904761904761904E-2</v>
      </c>
      <c r="R115" s="2" t="e">
        <f>IF(Table1[[#This Row],[CHECK2]]=0,NA(),
-(1/Table1[[#This Row],[T]])*LN((Table1[[#This Row],[S0]]-Table1[[#This Row],[C]]+Table1[[#This Row],[P]])/Table1[[#This Row],[K]])
)</f>
        <v>#N/A</v>
      </c>
    </row>
    <row r="116" spans="1:18">
      <c r="A116">
        <v>1</v>
      </c>
      <c r="B116" t="s">
        <v>10</v>
      </c>
      <c r="C116" s="1">
        <v>46134</v>
      </c>
      <c r="D116" t="s">
        <v>11</v>
      </c>
      <c r="E116">
        <v>37</v>
      </c>
      <c r="F116" t="s">
        <v>12</v>
      </c>
      <c r="G116" t="s">
        <v>13</v>
      </c>
      <c r="H116" s="1">
        <v>46136</v>
      </c>
      <c r="I116">
        <v>0.27</v>
      </c>
      <c r="J116">
        <v>0</v>
      </c>
      <c r="K116">
        <v>90</v>
      </c>
      <c r="L116">
        <v>0</v>
      </c>
      <c r="M116">
        <v>44.141454543518002</v>
      </c>
      <c r="N116">
        <v>1.931</v>
      </c>
      <c r="O116">
        <f>(Table1[[#This Row],[P]]&lt;&gt;0)*(Table1[[#This Row],[C]]&lt;&gt;0)</f>
        <v>0</v>
      </c>
      <c r="P116">
        <f>NETWORKDAYS(Table1[[#This Row],[ts_event]],Table1[[#This Row],[option_expiry_date]])</f>
        <v>3</v>
      </c>
      <c r="Q116">
        <f>Table1[[#This Row],[Column2]]/252</f>
        <v>1.1904761904761904E-2</v>
      </c>
      <c r="R116" s="2" t="e">
        <f>IF(Table1[[#This Row],[CHECK2]]=0,NA(),
-(1/Table1[[#This Row],[T]])*LN((Table1[[#This Row],[S0]]-Table1[[#This Row],[C]]+Table1[[#This Row],[P]])/Table1[[#This Row],[K]])
)</f>
        <v>#N/A</v>
      </c>
    </row>
    <row r="117" spans="1:18">
      <c r="A117">
        <v>3</v>
      </c>
      <c r="B117" t="s">
        <v>10</v>
      </c>
      <c r="C117" s="1">
        <v>46134</v>
      </c>
      <c r="D117" t="s">
        <v>11</v>
      </c>
      <c r="E117">
        <v>38</v>
      </c>
      <c r="F117" t="s">
        <v>12</v>
      </c>
      <c r="G117" t="s">
        <v>13</v>
      </c>
      <c r="H117" s="1">
        <v>46136</v>
      </c>
      <c r="I117">
        <v>0.1575</v>
      </c>
      <c r="J117">
        <v>4.8650000000000002</v>
      </c>
      <c r="K117">
        <v>1900</v>
      </c>
      <c r="L117">
        <v>50</v>
      </c>
      <c r="M117">
        <v>44.141454543518002</v>
      </c>
      <c r="N117">
        <v>1.931</v>
      </c>
      <c r="O117">
        <f>(Table1[[#This Row],[P]]&lt;&gt;0)*(Table1[[#This Row],[C]]&lt;&gt;0)</f>
        <v>1</v>
      </c>
      <c r="P117">
        <f>NETWORKDAYS(Table1[[#This Row],[ts_event]],Table1[[#This Row],[option_expiry_date]])</f>
        <v>3</v>
      </c>
      <c r="Q117">
        <f>Table1[[#This Row],[Column2]]/252</f>
        <v>1.1904761904761904E-2</v>
      </c>
      <c r="R117" s="2">
        <f>IF(Table1[[#This Row],[CHECK2]]=0,NA(),
-(1/Table1[[#This Row],[T]])*LN((Table1[[#This Row],[S0]]-Table1[[#This Row],[C]]+Table1[[#This Row],[P]])/Table1[[#This Row],[K]])
)</f>
        <v>-3.1114503750913149</v>
      </c>
    </row>
    <row r="118" spans="1:18">
      <c r="A118">
        <v>3</v>
      </c>
      <c r="B118" t="s">
        <v>10</v>
      </c>
      <c r="C118" s="1">
        <v>46134</v>
      </c>
      <c r="D118" t="s">
        <v>11</v>
      </c>
      <c r="E118">
        <v>40</v>
      </c>
      <c r="F118" t="s">
        <v>12</v>
      </c>
      <c r="G118" t="s">
        <v>13</v>
      </c>
      <c r="H118" s="1">
        <v>46136</v>
      </c>
      <c r="I118">
        <v>0.201895833333333</v>
      </c>
      <c r="J118">
        <v>3.87</v>
      </c>
      <c r="K118">
        <v>7200</v>
      </c>
      <c r="L118">
        <v>6395</v>
      </c>
      <c r="M118">
        <v>44.141454543518002</v>
      </c>
      <c r="N118">
        <v>1.931</v>
      </c>
      <c r="O118">
        <f>(Table1[[#This Row],[P]]&lt;&gt;0)*(Table1[[#This Row],[C]]&lt;&gt;0)</f>
        <v>1</v>
      </c>
      <c r="P118">
        <f>NETWORKDAYS(Table1[[#This Row],[ts_event]],Table1[[#This Row],[option_expiry_date]])</f>
        <v>3</v>
      </c>
      <c r="Q118">
        <f>Table1[[#This Row],[Column2]]/252</f>
        <v>1.1904761904761904E-2</v>
      </c>
      <c r="R118" s="2">
        <f>IF(Table1[[#This Row],[CHECK2]]=0,NA(),
-(1/Table1[[#This Row],[T]])*LN((Table1[[#This Row],[S0]]-Table1[[#This Row],[C]]+Table1[[#This Row],[P]])/Table1[[#This Row],[K]])
)</f>
        <v>-0.98820019410243853</v>
      </c>
    </row>
    <row r="119" spans="1:18">
      <c r="A119">
        <v>3</v>
      </c>
      <c r="B119" t="s">
        <v>10</v>
      </c>
      <c r="C119" s="1">
        <v>46134</v>
      </c>
      <c r="D119" t="s">
        <v>11</v>
      </c>
      <c r="E119">
        <v>41</v>
      </c>
      <c r="F119" t="s">
        <v>12</v>
      </c>
      <c r="G119" t="s">
        <v>13</v>
      </c>
      <c r="H119" s="1">
        <v>46136</v>
      </c>
      <c r="I119">
        <v>0.41916932907348198</v>
      </c>
      <c r="J119">
        <v>2.2000000000000002</v>
      </c>
      <c r="K119">
        <v>1565</v>
      </c>
      <c r="L119">
        <v>25</v>
      </c>
      <c r="M119">
        <v>44.141454543518002</v>
      </c>
      <c r="N119">
        <v>1.931</v>
      </c>
      <c r="O119">
        <f>(Table1[[#This Row],[P]]&lt;&gt;0)*(Table1[[#This Row],[C]]&lt;&gt;0)</f>
        <v>1</v>
      </c>
      <c r="P119">
        <f>NETWORKDAYS(Table1[[#This Row],[ts_event]],Table1[[#This Row],[option_expiry_date]])</f>
        <v>3</v>
      </c>
      <c r="Q119">
        <f>Table1[[#This Row],[Column2]]/252</f>
        <v>1.1904761904761904E-2</v>
      </c>
      <c r="R119" s="2">
        <f>IF(Table1[[#This Row],[CHECK2]]=0,NA(),
-(1/Table1[[#This Row],[T]])*LN((Table1[[#This Row],[S0]]-Table1[[#This Row],[C]]+Table1[[#This Row],[P]])/Table1[[#This Row],[K]])
)</f>
        <v>-2.7423632704335414</v>
      </c>
    </row>
    <row r="120" spans="1:18">
      <c r="A120">
        <v>3</v>
      </c>
      <c r="B120" t="s">
        <v>10</v>
      </c>
      <c r="C120" s="1">
        <v>46134</v>
      </c>
      <c r="D120" t="s">
        <v>11</v>
      </c>
      <c r="E120">
        <v>42</v>
      </c>
      <c r="F120" t="s">
        <v>12</v>
      </c>
      <c r="G120" t="s">
        <v>13</v>
      </c>
      <c r="H120" s="1">
        <v>46136</v>
      </c>
      <c r="I120">
        <v>1.2</v>
      </c>
      <c r="J120">
        <v>2.4500000000000002</v>
      </c>
      <c r="K120">
        <v>1010</v>
      </c>
      <c r="L120">
        <v>200</v>
      </c>
      <c r="M120">
        <v>44.141454543518002</v>
      </c>
      <c r="N120">
        <v>1.931</v>
      </c>
      <c r="O120">
        <f>(Table1[[#This Row],[P]]&lt;&gt;0)*(Table1[[#This Row],[C]]&lt;&gt;0)</f>
        <v>1</v>
      </c>
      <c r="P120">
        <f>NETWORKDAYS(Table1[[#This Row],[ts_event]],Table1[[#This Row],[option_expiry_date]])</f>
        <v>3</v>
      </c>
      <c r="Q120">
        <f>Table1[[#This Row],[Column2]]/252</f>
        <v>1.1904761904761904E-2</v>
      </c>
      <c r="R120" s="2">
        <f>IF(Table1[[#This Row],[CHECK2]]=0,NA(),
-(1/Table1[[#This Row],[T]])*LN((Table1[[#This Row],[S0]]-Table1[[#This Row],[C]]+Table1[[#This Row],[P]])/Table1[[#This Row],[K]])
)</f>
        <v>-1.7642514135872371</v>
      </c>
    </row>
    <row r="121" spans="1:18">
      <c r="A121">
        <v>3</v>
      </c>
      <c r="B121" t="s">
        <v>10</v>
      </c>
      <c r="C121" s="1">
        <v>46134</v>
      </c>
      <c r="D121" t="s">
        <v>11</v>
      </c>
      <c r="E121">
        <v>43</v>
      </c>
      <c r="F121" t="s">
        <v>12</v>
      </c>
      <c r="G121" t="s">
        <v>13</v>
      </c>
      <c r="H121" s="1">
        <v>46136</v>
      </c>
      <c r="I121">
        <v>0.90759493670886005</v>
      </c>
      <c r="J121">
        <v>1.335</v>
      </c>
      <c r="K121">
        <v>1975</v>
      </c>
      <c r="L121">
        <v>400</v>
      </c>
      <c r="M121">
        <v>44.141454543518002</v>
      </c>
      <c r="N121">
        <v>1.931</v>
      </c>
      <c r="O121">
        <f>(Table1[[#This Row],[P]]&lt;&gt;0)*(Table1[[#This Row],[C]]&lt;&gt;0)</f>
        <v>1</v>
      </c>
      <c r="P121">
        <f>NETWORKDAYS(Table1[[#This Row],[ts_event]],Table1[[#This Row],[option_expiry_date]])</f>
        <v>3</v>
      </c>
      <c r="Q121">
        <f>Table1[[#This Row],[Column2]]/252</f>
        <v>1.1904761904761904E-2</v>
      </c>
      <c r="R121" s="2">
        <f>IF(Table1[[#This Row],[CHECK2]]=0,NA(),
-(1/Table1[[#This Row],[T]])*LN((Table1[[#This Row],[S0]]-Table1[[#This Row],[C]]+Table1[[#This Row],[P]])/Table1[[#This Row],[K]])
)</f>
        <v>-1.3834323839116305</v>
      </c>
    </row>
    <row r="122" spans="1:18">
      <c r="A122">
        <v>3</v>
      </c>
      <c r="B122" t="s">
        <v>10</v>
      </c>
      <c r="C122" s="1">
        <v>46134</v>
      </c>
      <c r="D122" t="s">
        <v>11</v>
      </c>
      <c r="E122">
        <v>44</v>
      </c>
      <c r="F122" t="s">
        <v>12</v>
      </c>
      <c r="G122" t="s">
        <v>13</v>
      </c>
      <c r="H122" s="1">
        <v>46136</v>
      </c>
      <c r="I122">
        <v>2.5</v>
      </c>
      <c r="J122">
        <v>1.47</v>
      </c>
      <c r="K122">
        <v>1000</v>
      </c>
      <c r="L122">
        <v>300</v>
      </c>
      <c r="M122">
        <v>44.141454543518002</v>
      </c>
      <c r="N122">
        <v>1.931</v>
      </c>
      <c r="O122">
        <f>(Table1[[#This Row],[P]]&lt;&gt;0)*(Table1[[#This Row],[C]]&lt;&gt;0)</f>
        <v>1</v>
      </c>
      <c r="P122">
        <f>NETWORKDAYS(Table1[[#This Row],[ts_event]],Table1[[#This Row],[option_expiry_date]])</f>
        <v>3</v>
      </c>
      <c r="Q122">
        <f>Table1[[#This Row],[Column2]]/252</f>
        <v>1.1904761904761904E-2</v>
      </c>
      <c r="R122" s="2">
        <f>IF(Table1[[#This Row],[CHECK2]]=0,NA(),
-(1/Table1[[#This Row],[T]])*LN((Table1[[#This Row],[S0]]-Table1[[#This Row],[C]]+Table1[[#This Row],[P]])/Table1[[#This Row],[K]])
)</f>
        <v>-2.2071602085811883</v>
      </c>
    </row>
    <row r="123" spans="1:18">
      <c r="A123">
        <v>3</v>
      </c>
      <c r="B123" t="s">
        <v>10</v>
      </c>
      <c r="C123" s="1">
        <v>46134</v>
      </c>
      <c r="D123" t="s">
        <v>11</v>
      </c>
      <c r="E123">
        <v>45</v>
      </c>
      <c r="F123" t="s">
        <v>12</v>
      </c>
      <c r="G123" t="s">
        <v>13</v>
      </c>
      <c r="H123" s="1">
        <v>46136</v>
      </c>
      <c r="I123">
        <v>3</v>
      </c>
      <c r="J123">
        <v>1.2931297709923599</v>
      </c>
      <c r="K123">
        <v>750</v>
      </c>
      <c r="L123">
        <v>3275</v>
      </c>
      <c r="M123">
        <v>44.141454543518002</v>
      </c>
      <c r="N123">
        <v>1.931</v>
      </c>
      <c r="O123">
        <f>(Table1[[#This Row],[P]]&lt;&gt;0)*(Table1[[#This Row],[C]]&lt;&gt;0)</f>
        <v>1</v>
      </c>
      <c r="P123">
        <f>NETWORKDAYS(Table1[[#This Row],[ts_event]],Table1[[#This Row],[option_expiry_date]])</f>
        <v>3</v>
      </c>
      <c r="Q123">
        <f>Table1[[#This Row],[Column2]]/252</f>
        <v>1.1904761904761904E-2</v>
      </c>
      <c r="R123" s="2">
        <f>IF(Table1[[#This Row],[CHECK2]]=0,NA(),
-(1/Table1[[#This Row],[T]])*LN((Table1[[#This Row],[S0]]-Table1[[#This Row],[C]]+Table1[[#This Row],[P]])/Table1[[#This Row],[K]])
)</f>
        <v>-1.5687983751941852</v>
      </c>
    </row>
    <row r="124" spans="1:18">
      <c r="A124">
        <v>2</v>
      </c>
      <c r="B124" t="s">
        <v>10</v>
      </c>
      <c r="C124" s="1">
        <v>46134</v>
      </c>
      <c r="D124" t="s">
        <v>11</v>
      </c>
      <c r="E124">
        <v>46</v>
      </c>
      <c r="F124" t="s">
        <v>12</v>
      </c>
      <c r="G124" t="s">
        <v>13</v>
      </c>
      <c r="H124" s="1">
        <v>46136</v>
      </c>
      <c r="I124">
        <v>0</v>
      </c>
      <c r="J124">
        <v>0.75728571428571401</v>
      </c>
      <c r="K124">
        <v>0</v>
      </c>
      <c r="L124">
        <v>875</v>
      </c>
      <c r="M124">
        <v>44.141454543518002</v>
      </c>
      <c r="N124">
        <v>1.931</v>
      </c>
      <c r="O124">
        <f>(Table1[[#This Row],[P]]&lt;&gt;0)*(Table1[[#This Row],[C]]&lt;&gt;0)</f>
        <v>0</v>
      </c>
      <c r="P124">
        <f>NETWORKDAYS(Table1[[#This Row],[ts_event]],Table1[[#This Row],[option_expiry_date]])</f>
        <v>3</v>
      </c>
      <c r="Q124">
        <f>Table1[[#This Row],[Column2]]/252</f>
        <v>1.1904761904761904E-2</v>
      </c>
      <c r="R124" s="2" t="e">
        <f>IF(Table1[[#This Row],[CHECK2]]=0,NA(),
-(1/Table1[[#This Row],[T]])*LN((Table1[[#This Row],[S0]]-Table1[[#This Row],[C]]+Table1[[#This Row],[P]])/Table1[[#This Row],[K]])
)</f>
        <v>#N/A</v>
      </c>
    </row>
    <row r="125" spans="1:18">
      <c r="A125">
        <v>2</v>
      </c>
      <c r="B125" t="s">
        <v>10</v>
      </c>
      <c r="C125" s="1">
        <v>46134</v>
      </c>
      <c r="D125" t="s">
        <v>11</v>
      </c>
      <c r="E125">
        <v>48</v>
      </c>
      <c r="F125" t="s">
        <v>12</v>
      </c>
      <c r="G125" t="s">
        <v>13</v>
      </c>
      <c r="H125" s="1">
        <v>46136</v>
      </c>
      <c r="I125">
        <v>0</v>
      </c>
      <c r="J125">
        <v>0.46103448275862002</v>
      </c>
      <c r="K125">
        <v>0</v>
      </c>
      <c r="L125">
        <v>1450</v>
      </c>
      <c r="M125">
        <v>44.141454543518002</v>
      </c>
      <c r="N125">
        <v>1.931</v>
      </c>
      <c r="O125">
        <f>(Table1[[#This Row],[P]]&lt;&gt;0)*(Table1[[#This Row],[C]]&lt;&gt;0)</f>
        <v>0</v>
      </c>
      <c r="P125">
        <f>NETWORKDAYS(Table1[[#This Row],[ts_event]],Table1[[#This Row],[option_expiry_date]])</f>
        <v>3</v>
      </c>
      <c r="Q125">
        <f>Table1[[#This Row],[Column2]]/252</f>
        <v>1.1904761904761904E-2</v>
      </c>
      <c r="R125" s="2" t="e">
        <f>IF(Table1[[#This Row],[CHECK2]]=0,NA(),
-(1/Table1[[#This Row],[T]])*LN((Table1[[#This Row],[S0]]-Table1[[#This Row],[C]]+Table1[[#This Row],[P]])/Table1[[#This Row],[K]])
)</f>
        <v>#N/A</v>
      </c>
    </row>
    <row r="126" spans="1:18">
      <c r="A126">
        <v>1</v>
      </c>
      <c r="B126" t="s">
        <v>10</v>
      </c>
      <c r="C126" s="1">
        <v>46134</v>
      </c>
      <c r="D126" t="s">
        <v>11</v>
      </c>
      <c r="E126">
        <v>49</v>
      </c>
      <c r="F126" t="s">
        <v>12</v>
      </c>
      <c r="G126" t="s">
        <v>13</v>
      </c>
      <c r="H126" s="1">
        <v>46136</v>
      </c>
      <c r="I126">
        <v>0</v>
      </c>
      <c r="J126">
        <v>0.51</v>
      </c>
      <c r="K126">
        <v>0</v>
      </c>
      <c r="L126">
        <v>45</v>
      </c>
      <c r="M126">
        <v>44.141454543518002</v>
      </c>
      <c r="N126">
        <v>1.931</v>
      </c>
      <c r="O126">
        <f>(Table1[[#This Row],[P]]&lt;&gt;0)*(Table1[[#This Row],[C]]&lt;&gt;0)</f>
        <v>0</v>
      </c>
      <c r="P126">
        <f>NETWORKDAYS(Table1[[#This Row],[ts_event]],Table1[[#This Row],[option_expiry_date]])</f>
        <v>3</v>
      </c>
      <c r="Q126">
        <f>Table1[[#This Row],[Column2]]/252</f>
        <v>1.1904761904761904E-2</v>
      </c>
      <c r="R126" s="2" t="e">
        <f>IF(Table1[[#This Row],[CHECK2]]=0,NA(),
-(1/Table1[[#This Row],[T]])*LN((Table1[[#This Row],[S0]]-Table1[[#This Row],[C]]+Table1[[#This Row],[P]])/Table1[[#This Row],[K]])
)</f>
        <v>#N/A</v>
      </c>
    </row>
    <row r="127" spans="1:18">
      <c r="A127">
        <v>2</v>
      </c>
      <c r="B127" t="s">
        <v>10</v>
      </c>
      <c r="C127" s="1">
        <v>46134</v>
      </c>
      <c r="D127" t="s">
        <v>11</v>
      </c>
      <c r="E127">
        <v>50</v>
      </c>
      <c r="F127" t="s">
        <v>12</v>
      </c>
      <c r="G127" t="s">
        <v>13</v>
      </c>
      <c r="H127" s="1">
        <v>46136</v>
      </c>
      <c r="I127">
        <v>0</v>
      </c>
      <c r="J127">
        <v>0.32170212765957401</v>
      </c>
      <c r="K127">
        <v>0</v>
      </c>
      <c r="L127">
        <v>2585</v>
      </c>
      <c r="M127">
        <v>44.141454543518002</v>
      </c>
      <c r="N127">
        <v>1.931</v>
      </c>
      <c r="O127">
        <f>(Table1[[#This Row],[P]]&lt;&gt;0)*(Table1[[#This Row],[C]]&lt;&gt;0)</f>
        <v>0</v>
      </c>
      <c r="P127">
        <f>NETWORKDAYS(Table1[[#This Row],[ts_event]],Table1[[#This Row],[option_expiry_date]])</f>
        <v>3</v>
      </c>
      <c r="Q127">
        <f>Table1[[#This Row],[Column2]]/252</f>
        <v>1.1904761904761904E-2</v>
      </c>
      <c r="R127" s="2" t="e">
        <f>IF(Table1[[#This Row],[CHECK2]]=0,NA(),
-(1/Table1[[#This Row],[T]])*LN((Table1[[#This Row],[S0]]-Table1[[#This Row],[C]]+Table1[[#This Row],[P]])/Table1[[#This Row],[K]])
)</f>
        <v>#N/A</v>
      </c>
    </row>
    <row r="128" spans="1:18">
      <c r="A128">
        <v>1</v>
      </c>
      <c r="B128" t="s">
        <v>10</v>
      </c>
      <c r="C128" s="1">
        <v>46134</v>
      </c>
      <c r="D128" t="s">
        <v>11</v>
      </c>
      <c r="E128">
        <v>55</v>
      </c>
      <c r="F128" t="s">
        <v>12</v>
      </c>
      <c r="G128" t="s">
        <v>13</v>
      </c>
      <c r="H128" s="1">
        <v>46136</v>
      </c>
      <c r="I128">
        <v>0</v>
      </c>
      <c r="J128">
        <v>0.155</v>
      </c>
      <c r="K128">
        <v>0</v>
      </c>
      <c r="L128">
        <v>1400</v>
      </c>
      <c r="M128">
        <v>44.141454543518002</v>
      </c>
      <c r="N128">
        <v>1.931</v>
      </c>
      <c r="O128">
        <f>(Table1[[#This Row],[P]]&lt;&gt;0)*(Table1[[#This Row],[C]]&lt;&gt;0)</f>
        <v>0</v>
      </c>
      <c r="P128">
        <f>NETWORKDAYS(Table1[[#This Row],[ts_event]],Table1[[#This Row],[option_expiry_date]])</f>
        <v>3</v>
      </c>
      <c r="Q128">
        <f>Table1[[#This Row],[Column2]]/252</f>
        <v>1.1904761904761904E-2</v>
      </c>
      <c r="R128" s="2" t="e">
        <f>IF(Table1[[#This Row],[CHECK2]]=0,NA(),
-(1/Table1[[#This Row],[T]])*LN((Table1[[#This Row],[S0]]-Table1[[#This Row],[C]]+Table1[[#This Row],[P]])/Table1[[#This Row],[K]])
)</f>
        <v>#N/A</v>
      </c>
    </row>
    <row r="129" spans="1:18">
      <c r="A129">
        <v>1</v>
      </c>
      <c r="B129" t="s">
        <v>10</v>
      </c>
      <c r="C129" s="1">
        <v>46134</v>
      </c>
      <c r="D129" t="s">
        <v>11</v>
      </c>
      <c r="E129">
        <v>60</v>
      </c>
      <c r="F129" t="s">
        <v>12</v>
      </c>
      <c r="G129" t="s">
        <v>13</v>
      </c>
      <c r="H129" s="1">
        <v>46136</v>
      </c>
      <c r="I129">
        <v>0</v>
      </c>
      <c r="J129">
        <v>0.1</v>
      </c>
      <c r="K129">
        <v>0</v>
      </c>
      <c r="L129">
        <v>25</v>
      </c>
      <c r="M129">
        <v>44.141454543518002</v>
      </c>
      <c r="N129">
        <v>1.931</v>
      </c>
      <c r="O129">
        <f>(Table1[[#This Row],[P]]&lt;&gt;0)*(Table1[[#This Row],[C]]&lt;&gt;0)</f>
        <v>0</v>
      </c>
      <c r="P129">
        <f>NETWORKDAYS(Table1[[#This Row],[ts_event]],Table1[[#This Row],[option_expiry_date]])</f>
        <v>3</v>
      </c>
      <c r="Q129">
        <f>Table1[[#This Row],[Column2]]/252</f>
        <v>1.1904761904761904E-2</v>
      </c>
      <c r="R129" s="2" t="e">
        <f>IF(Table1[[#This Row],[CHECK2]]=0,NA(),
-(1/Table1[[#This Row],[T]])*LN((Table1[[#This Row],[S0]]-Table1[[#This Row],[C]]+Table1[[#This Row],[P]])/Table1[[#This Row],[K]])
)</f>
        <v>#N/A</v>
      </c>
    </row>
    <row r="130" spans="1:18">
      <c r="A130">
        <v>1</v>
      </c>
      <c r="B130" t="s">
        <v>10</v>
      </c>
      <c r="C130" s="1">
        <v>46134</v>
      </c>
      <c r="D130" t="s">
        <v>11</v>
      </c>
      <c r="E130">
        <v>70</v>
      </c>
      <c r="F130" t="s">
        <v>12</v>
      </c>
      <c r="G130" t="s">
        <v>13</v>
      </c>
      <c r="H130" s="1">
        <v>46136</v>
      </c>
      <c r="I130">
        <v>0</v>
      </c>
      <c r="J130">
        <v>0.06</v>
      </c>
      <c r="K130">
        <v>0</v>
      </c>
      <c r="L130">
        <v>50</v>
      </c>
      <c r="M130">
        <v>44.141454543518002</v>
      </c>
      <c r="N130">
        <v>1.931</v>
      </c>
      <c r="O130">
        <f>(Table1[[#This Row],[P]]&lt;&gt;0)*(Table1[[#This Row],[C]]&lt;&gt;0)</f>
        <v>0</v>
      </c>
      <c r="P130">
        <f>NETWORKDAYS(Table1[[#This Row],[ts_event]],Table1[[#This Row],[option_expiry_date]])</f>
        <v>3</v>
      </c>
      <c r="Q130">
        <f>Table1[[#This Row],[Column2]]/252</f>
        <v>1.1904761904761904E-2</v>
      </c>
      <c r="R130" s="2" t="e">
        <f>IF(Table1[[#This Row],[CHECK2]]=0,NA(),
-(1/Table1[[#This Row],[T]])*LN((Table1[[#This Row],[S0]]-Table1[[#This Row],[C]]+Table1[[#This Row],[P]])/Table1[[#This Row],[K]])
)</f>
        <v>#N/A</v>
      </c>
    </row>
    <row r="131" spans="1:18">
      <c r="A131">
        <v>1</v>
      </c>
      <c r="B131" t="s">
        <v>10</v>
      </c>
      <c r="C131" s="1">
        <v>46134</v>
      </c>
      <c r="D131" t="s">
        <v>11</v>
      </c>
      <c r="E131">
        <v>75</v>
      </c>
      <c r="F131" t="s">
        <v>12</v>
      </c>
      <c r="G131" t="s">
        <v>13</v>
      </c>
      <c r="H131" s="1">
        <v>46136</v>
      </c>
      <c r="I131">
        <v>0</v>
      </c>
      <c r="J131">
        <v>2.5000000000000001E-2</v>
      </c>
      <c r="K131">
        <v>0</v>
      </c>
      <c r="L131">
        <v>450</v>
      </c>
      <c r="M131">
        <v>44.141454543518002</v>
      </c>
      <c r="N131">
        <v>1.931</v>
      </c>
      <c r="O131">
        <f>(Table1[[#This Row],[P]]&lt;&gt;0)*(Table1[[#This Row],[C]]&lt;&gt;0)</f>
        <v>0</v>
      </c>
      <c r="P131">
        <f>NETWORKDAYS(Table1[[#This Row],[ts_event]],Table1[[#This Row],[option_expiry_date]])</f>
        <v>3</v>
      </c>
      <c r="Q131">
        <f>Table1[[#This Row],[Column2]]/252</f>
        <v>1.1904761904761904E-2</v>
      </c>
      <c r="R131" s="2" t="e">
        <f>IF(Table1[[#This Row],[CHECK2]]=0,NA(),
-(1/Table1[[#This Row],[T]])*LN((Table1[[#This Row],[S0]]-Table1[[#This Row],[C]]+Table1[[#This Row],[P]])/Table1[[#This Row],[K]])
)</f>
        <v>#N/A</v>
      </c>
    </row>
    <row r="132" spans="1:18">
      <c r="A132">
        <v>2</v>
      </c>
      <c r="B132" t="s">
        <v>10</v>
      </c>
      <c r="C132" s="1">
        <v>46134</v>
      </c>
      <c r="D132" t="s">
        <v>14</v>
      </c>
      <c r="E132">
        <v>30</v>
      </c>
      <c r="F132" t="s">
        <v>12</v>
      </c>
      <c r="G132" t="s">
        <v>13</v>
      </c>
      <c r="H132" s="1">
        <v>46169</v>
      </c>
      <c r="I132">
        <v>0.25312499999999999</v>
      </c>
      <c r="J132">
        <v>0</v>
      </c>
      <c r="K132">
        <v>1200</v>
      </c>
      <c r="L132">
        <v>0</v>
      </c>
      <c r="M132">
        <v>44.104494007989302</v>
      </c>
      <c r="N132">
        <v>1.931</v>
      </c>
      <c r="O132">
        <f>(Table1[[#This Row],[P]]&lt;&gt;0)*(Table1[[#This Row],[C]]&lt;&gt;0)</f>
        <v>0</v>
      </c>
      <c r="P132">
        <f>NETWORKDAYS(Table1[[#This Row],[ts_event]],Table1[[#This Row],[option_expiry_date]])</f>
        <v>26</v>
      </c>
      <c r="Q132">
        <f>Table1[[#This Row],[Column2]]/252</f>
        <v>0.10317460317460317</v>
      </c>
      <c r="R132" s="2" t="e">
        <f>IF(Table1[[#This Row],[CHECK2]]=0,NA(),
-(1/Table1[[#This Row],[T]])*LN((Table1[[#This Row],[S0]]-Table1[[#This Row],[C]]+Table1[[#This Row],[P]])/Table1[[#This Row],[K]])
)</f>
        <v>#N/A</v>
      </c>
    </row>
    <row r="133" spans="1:18">
      <c r="A133">
        <v>1</v>
      </c>
      <c r="B133" t="s">
        <v>10</v>
      </c>
      <c r="C133" s="1">
        <v>46134</v>
      </c>
      <c r="D133" t="s">
        <v>14</v>
      </c>
      <c r="E133">
        <v>32</v>
      </c>
      <c r="F133" t="s">
        <v>12</v>
      </c>
      <c r="G133" t="s">
        <v>13</v>
      </c>
      <c r="H133" s="1">
        <v>46169</v>
      </c>
      <c r="I133">
        <v>0.47499999999999998</v>
      </c>
      <c r="J133">
        <v>0</v>
      </c>
      <c r="K133">
        <v>700</v>
      </c>
      <c r="L133">
        <v>0</v>
      </c>
      <c r="M133">
        <v>44.104494007989302</v>
      </c>
      <c r="N133">
        <v>1.931</v>
      </c>
      <c r="O133">
        <f>(Table1[[#This Row],[P]]&lt;&gt;0)*(Table1[[#This Row],[C]]&lt;&gt;0)</f>
        <v>0</v>
      </c>
      <c r="P133">
        <f>NETWORKDAYS(Table1[[#This Row],[ts_event]],Table1[[#This Row],[option_expiry_date]])</f>
        <v>26</v>
      </c>
      <c r="Q133">
        <f>Table1[[#This Row],[Column2]]/252</f>
        <v>0.10317460317460317</v>
      </c>
      <c r="R133" s="2" t="e">
        <f>IF(Table1[[#This Row],[CHECK2]]=0,NA(),
-(1/Table1[[#This Row],[T]])*LN((Table1[[#This Row],[S0]]-Table1[[#This Row],[C]]+Table1[[#This Row],[P]])/Table1[[#This Row],[K]])
)</f>
        <v>#N/A</v>
      </c>
    </row>
    <row r="134" spans="1:18">
      <c r="A134">
        <v>1</v>
      </c>
      <c r="B134" t="s">
        <v>10</v>
      </c>
      <c r="C134" s="1">
        <v>46134</v>
      </c>
      <c r="D134" t="s">
        <v>14</v>
      </c>
      <c r="E134">
        <v>33</v>
      </c>
      <c r="F134" t="s">
        <v>12</v>
      </c>
      <c r="G134" t="s">
        <v>13</v>
      </c>
      <c r="H134" s="1">
        <v>46169</v>
      </c>
      <c r="I134">
        <v>0.5</v>
      </c>
      <c r="J134">
        <v>0</v>
      </c>
      <c r="K134">
        <v>500</v>
      </c>
      <c r="L134">
        <v>0</v>
      </c>
      <c r="M134">
        <v>44.104494007989302</v>
      </c>
      <c r="N134">
        <v>1.931</v>
      </c>
      <c r="O134">
        <f>(Table1[[#This Row],[P]]&lt;&gt;0)*(Table1[[#This Row],[C]]&lt;&gt;0)</f>
        <v>0</v>
      </c>
      <c r="P134">
        <f>NETWORKDAYS(Table1[[#This Row],[ts_event]],Table1[[#This Row],[option_expiry_date]])</f>
        <v>26</v>
      </c>
      <c r="Q134">
        <f>Table1[[#This Row],[Column2]]/252</f>
        <v>0.10317460317460317</v>
      </c>
      <c r="R134" s="2" t="e">
        <f>IF(Table1[[#This Row],[CHECK2]]=0,NA(),
-(1/Table1[[#This Row],[T]])*LN((Table1[[#This Row],[S0]]-Table1[[#This Row],[C]]+Table1[[#This Row],[P]])/Table1[[#This Row],[K]])
)</f>
        <v>#N/A</v>
      </c>
    </row>
    <row r="135" spans="1:18">
      <c r="A135">
        <v>2</v>
      </c>
      <c r="B135" t="s">
        <v>10</v>
      </c>
      <c r="C135" s="1">
        <v>46134</v>
      </c>
      <c r="D135" t="s">
        <v>14</v>
      </c>
      <c r="E135">
        <v>35</v>
      </c>
      <c r="F135" t="s">
        <v>12</v>
      </c>
      <c r="G135" t="s">
        <v>13</v>
      </c>
      <c r="H135" s="1">
        <v>46169</v>
      </c>
      <c r="I135">
        <v>1.01897058823529</v>
      </c>
      <c r="J135">
        <v>0</v>
      </c>
      <c r="K135">
        <v>2720</v>
      </c>
      <c r="L135">
        <v>0</v>
      </c>
      <c r="M135">
        <v>44.104494007989302</v>
      </c>
      <c r="N135">
        <v>1.931</v>
      </c>
      <c r="O135">
        <f>(Table1[[#This Row],[P]]&lt;&gt;0)*(Table1[[#This Row],[C]]&lt;&gt;0)</f>
        <v>0</v>
      </c>
      <c r="P135">
        <f>NETWORKDAYS(Table1[[#This Row],[ts_event]],Table1[[#This Row],[option_expiry_date]])</f>
        <v>26</v>
      </c>
      <c r="Q135">
        <f>Table1[[#This Row],[Column2]]/252</f>
        <v>0.10317460317460317</v>
      </c>
      <c r="R135" s="2" t="e">
        <f>IF(Table1[[#This Row],[CHECK2]]=0,NA(),
-(1/Table1[[#This Row],[T]])*LN((Table1[[#This Row],[S0]]-Table1[[#This Row],[C]]+Table1[[#This Row],[P]])/Table1[[#This Row],[K]])
)</f>
        <v>#N/A</v>
      </c>
    </row>
    <row r="136" spans="1:18">
      <c r="A136">
        <v>1</v>
      </c>
      <c r="B136" t="s">
        <v>10</v>
      </c>
      <c r="C136" s="1">
        <v>46134</v>
      </c>
      <c r="D136" t="s">
        <v>14</v>
      </c>
      <c r="E136">
        <v>40</v>
      </c>
      <c r="F136" t="s">
        <v>12</v>
      </c>
      <c r="G136" t="s">
        <v>13</v>
      </c>
      <c r="H136" s="1">
        <v>46169</v>
      </c>
      <c r="I136">
        <v>3.03</v>
      </c>
      <c r="J136">
        <v>0</v>
      </c>
      <c r="K136">
        <v>1360</v>
      </c>
      <c r="L136">
        <v>0</v>
      </c>
      <c r="M136">
        <v>44.104494007989302</v>
      </c>
      <c r="N136">
        <v>1.931</v>
      </c>
      <c r="O136">
        <f>(Table1[[#This Row],[P]]&lt;&gt;0)*(Table1[[#This Row],[C]]&lt;&gt;0)</f>
        <v>0</v>
      </c>
      <c r="P136">
        <f>NETWORKDAYS(Table1[[#This Row],[ts_event]],Table1[[#This Row],[option_expiry_date]])</f>
        <v>26</v>
      </c>
      <c r="Q136">
        <f>Table1[[#This Row],[Column2]]/252</f>
        <v>0.10317460317460317</v>
      </c>
      <c r="R136" s="2" t="e">
        <f>IF(Table1[[#This Row],[CHECK2]]=0,NA(),
-(1/Table1[[#This Row],[T]])*LN((Table1[[#This Row],[S0]]-Table1[[#This Row],[C]]+Table1[[#This Row],[P]])/Table1[[#This Row],[K]])
)</f>
        <v>#N/A</v>
      </c>
    </row>
    <row r="137" spans="1:18">
      <c r="A137">
        <v>1</v>
      </c>
      <c r="B137" t="s">
        <v>10</v>
      </c>
      <c r="C137" s="1">
        <v>46134</v>
      </c>
      <c r="D137" t="s">
        <v>14</v>
      </c>
      <c r="E137">
        <v>45</v>
      </c>
      <c r="F137" t="s">
        <v>12</v>
      </c>
      <c r="G137" t="s">
        <v>13</v>
      </c>
      <c r="H137" s="1">
        <v>46169</v>
      </c>
      <c r="I137">
        <v>0</v>
      </c>
      <c r="J137">
        <v>4.5</v>
      </c>
      <c r="K137">
        <v>0</v>
      </c>
      <c r="L137">
        <v>2050</v>
      </c>
      <c r="M137">
        <v>44.104494007989302</v>
      </c>
      <c r="N137">
        <v>1.931</v>
      </c>
      <c r="O137">
        <f>(Table1[[#This Row],[P]]&lt;&gt;0)*(Table1[[#This Row],[C]]&lt;&gt;0)</f>
        <v>0</v>
      </c>
      <c r="P137">
        <f>NETWORKDAYS(Table1[[#This Row],[ts_event]],Table1[[#This Row],[option_expiry_date]])</f>
        <v>26</v>
      </c>
      <c r="Q137">
        <f>Table1[[#This Row],[Column2]]/252</f>
        <v>0.10317460317460317</v>
      </c>
      <c r="R137" s="2" t="e">
        <f>IF(Table1[[#This Row],[CHECK2]]=0,NA(),
-(1/Table1[[#This Row],[T]])*LN((Table1[[#This Row],[S0]]-Table1[[#This Row],[C]]+Table1[[#This Row],[P]])/Table1[[#This Row],[K]])
)</f>
        <v>#N/A</v>
      </c>
    </row>
    <row r="138" spans="1:18">
      <c r="A138">
        <v>2</v>
      </c>
      <c r="B138" t="s">
        <v>10</v>
      </c>
      <c r="C138" s="1">
        <v>46134</v>
      </c>
      <c r="D138" t="s">
        <v>14</v>
      </c>
      <c r="E138">
        <v>50</v>
      </c>
      <c r="F138" t="s">
        <v>12</v>
      </c>
      <c r="G138" t="s">
        <v>13</v>
      </c>
      <c r="H138" s="1">
        <v>46169</v>
      </c>
      <c r="I138">
        <v>0</v>
      </c>
      <c r="J138">
        <v>3.0234496124031001</v>
      </c>
      <c r="K138">
        <v>0</v>
      </c>
      <c r="L138">
        <v>2580</v>
      </c>
      <c r="M138">
        <v>44.104494007989302</v>
      </c>
      <c r="N138">
        <v>1.931</v>
      </c>
      <c r="O138">
        <f>(Table1[[#This Row],[P]]&lt;&gt;0)*(Table1[[#This Row],[C]]&lt;&gt;0)</f>
        <v>0</v>
      </c>
      <c r="P138">
        <f>NETWORKDAYS(Table1[[#This Row],[ts_event]],Table1[[#This Row],[option_expiry_date]])</f>
        <v>26</v>
      </c>
      <c r="Q138">
        <f>Table1[[#This Row],[Column2]]/252</f>
        <v>0.10317460317460317</v>
      </c>
      <c r="R138" s="2" t="e">
        <f>IF(Table1[[#This Row],[CHECK2]]=0,NA(),
-(1/Table1[[#This Row],[T]])*LN((Table1[[#This Row],[S0]]-Table1[[#This Row],[C]]+Table1[[#This Row],[P]])/Table1[[#This Row],[K]])
)</f>
        <v>#N/A</v>
      </c>
    </row>
    <row r="139" spans="1:18">
      <c r="A139">
        <v>1</v>
      </c>
      <c r="B139" t="s">
        <v>10</v>
      </c>
      <c r="C139" s="1">
        <v>46134</v>
      </c>
      <c r="D139" t="s">
        <v>14</v>
      </c>
      <c r="E139">
        <v>55</v>
      </c>
      <c r="F139" t="s">
        <v>12</v>
      </c>
      <c r="G139" t="s">
        <v>13</v>
      </c>
      <c r="H139" s="1">
        <v>46169</v>
      </c>
      <c r="I139">
        <v>0</v>
      </c>
      <c r="J139">
        <v>1.875</v>
      </c>
      <c r="K139">
        <v>0</v>
      </c>
      <c r="L139">
        <v>1050</v>
      </c>
      <c r="M139">
        <v>44.104494007989302</v>
      </c>
      <c r="N139">
        <v>1.931</v>
      </c>
      <c r="O139">
        <f>(Table1[[#This Row],[P]]&lt;&gt;0)*(Table1[[#This Row],[C]]&lt;&gt;0)</f>
        <v>0</v>
      </c>
      <c r="P139">
        <f>NETWORKDAYS(Table1[[#This Row],[ts_event]],Table1[[#This Row],[option_expiry_date]])</f>
        <v>26</v>
      </c>
      <c r="Q139">
        <f>Table1[[#This Row],[Column2]]/252</f>
        <v>0.10317460317460317</v>
      </c>
      <c r="R139" s="2" t="e">
        <f>IF(Table1[[#This Row],[CHECK2]]=0,NA(),
-(1/Table1[[#This Row],[T]])*LN((Table1[[#This Row],[S0]]-Table1[[#This Row],[C]]+Table1[[#This Row],[P]])/Table1[[#This Row],[K]])
)</f>
        <v>#N/A</v>
      </c>
    </row>
    <row r="140" spans="1:18">
      <c r="A140">
        <v>2</v>
      </c>
      <c r="B140" t="s">
        <v>10</v>
      </c>
      <c r="C140" s="1">
        <v>46134</v>
      </c>
      <c r="D140" t="s">
        <v>14</v>
      </c>
      <c r="E140">
        <v>60</v>
      </c>
      <c r="F140" t="s">
        <v>12</v>
      </c>
      <c r="G140" t="s">
        <v>13</v>
      </c>
      <c r="H140" s="1">
        <v>46169</v>
      </c>
      <c r="I140">
        <v>0</v>
      </c>
      <c r="J140">
        <v>1.4030487804878</v>
      </c>
      <c r="K140">
        <v>0</v>
      </c>
      <c r="L140">
        <v>820</v>
      </c>
      <c r="M140">
        <v>44.104494007989302</v>
      </c>
      <c r="N140">
        <v>1.931</v>
      </c>
      <c r="O140">
        <f>(Table1[[#This Row],[P]]&lt;&gt;0)*(Table1[[#This Row],[C]]&lt;&gt;0)</f>
        <v>0</v>
      </c>
      <c r="P140">
        <f>NETWORKDAYS(Table1[[#This Row],[ts_event]],Table1[[#This Row],[option_expiry_date]])</f>
        <v>26</v>
      </c>
      <c r="Q140">
        <f>Table1[[#This Row],[Column2]]/252</f>
        <v>0.10317460317460317</v>
      </c>
      <c r="R140" s="2" t="e">
        <f>IF(Table1[[#This Row],[CHECK2]]=0,NA(),
-(1/Table1[[#This Row],[T]])*LN((Table1[[#This Row],[S0]]-Table1[[#This Row],[C]]+Table1[[#This Row],[P]])/Table1[[#This Row],[K]])
)</f>
        <v>#N/A</v>
      </c>
    </row>
    <row r="141" spans="1:18">
      <c r="A141">
        <v>2</v>
      </c>
      <c r="B141" t="s">
        <v>10</v>
      </c>
      <c r="C141" s="1">
        <v>46134</v>
      </c>
      <c r="D141" t="s">
        <v>14</v>
      </c>
      <c r="E141">
        <v>65</v>
      </c>
      <c r="F141" t="s">
        <v>12</v>
      </c>
      <c r="G141" t="s">
        <v>13</v>
      </c>
      <c r="H141" s="1">
        <v>46169</v>
      </c>
      <c r="I141">
        <v>0</v>
      </c>
      <c r="J141">
        <v>1.0976470588235201</v>
      </c>
      <c r="K141">
        <v>0</v>
      </c>
      <c r="L141">
        <v>850</v>
      </c>
      <c r="M141">
        <v>44.104494007989302</v>
      </c>
      <c r="N141">
        <v>1.931</v>
      </c>
      <c r="O141">
        <f>(Table1[[#This Row],[P]]&lt;&gt;0)*(Table1[[#This Row],[C]]&lt;&gt;0)</f>
        <v>0</v>
      </c>
      <c r="P141">
        <f>NETWORKDAYS(Table1[[#This Row],[ts_event]],Table1[[#This Row],[option_expiry_date]])</f>
        <v>26</v>
      </c>
      <c r="Q141">
        <f>Table1[[#This Row],[Column2]]/252</f>
        <v>0.10317460317460317</v>
      </c>
      <c r="R141" s="2" t="e">
        <f>IF(Table1[[#This Row],[CHECK2]]=0,NA(),
-(1/Table1[[#This Row],[T]])*LN((Table1[[#This Row],[S0]]-Table1[[#This Row],[C]]+Table1[[#This Row],[P]])/Table1[[#This Row],[K]])
)</f>
        <v>#N/A</v>
      </c>
    </row>
    <row r="142" spans="1:18">
      <c r="A142">
        <v>2</v>
      </c>
      <c r="B142" t="s">
        <v>10</v>
      </c>
      <c r="C142" s="1">
        <v>46134</v>
      </c>
      <c r="D142" t="s">
        <v>14</v>
      </c>
      <c r="E142">
        <v>70</v>
      </c>
      <c r="F142" t="s">
        <v>12</v>
      </c>
      <c r="G142" t="s">
        <v>13</v>
      </c>
      <c r="H142" s="1">
        <v>46169</v>
      </c>
      <c r="I142">
        <v>0</v>
      </c>
      <c r="J142">
        <v>0.760967741935483</v>
      </c>
      <c r="K142">
        <v>0</v>
      </c>
      <c r="L142">
        <v>310</v>
      </c>
      <c r="M142">
        <v>44.104494007989302</v>
      </c>
      <c r="N142">
        <v>1.931</v>
      </c>
      <c r="O142">
        <f>(Table1[[#This Row],[P]]&lt;&gt;0)*(Table1[[#This Row],[C]]&lt;&gt;0)</f>
        <v>0</v>
      </c>
      <c r="P142">
        <f>NETWORKDAYS(Table1[[#This Row],[ts_event]],Table1[[#This Row],[option_expiry_date]])</f>
        <v>26</v>
      </c>
      <c r="Q142">
        <f>Table1[[#This Row],[Column2]]/252</f>
        <v>0.10317460317460317</v>
      </c>
      <c r="R142" s="2" t="e">
        <f>IF(Table1[[#This Row],[CHECK2]]=0,NA(),
-(1/Table1[[#This Row],[T]])*LN((Table1[[#This Row],[S0]]-Table1[[#This Row],[C]]+Table1[[#This Row],[P]])/Table1[[#This Row],[K]])
)</f>
        <v>#N/A</v>
      </c>
    </row>
    <row r="143" spans="1:18">
      <c r="A143">
        <v>1</v>
      </c>
      <c r="B143" t="s">
        <v>10</v>
      </c>
      <c r="C143" s="1">
        <v>46134</v>
      </c>
      <c r="D143" t="s">
        <v>14</v>
      </c>
      <c r="E143">
        <v>75</v>
      </c>
      <c r="F143" t="s">
        <v>12</v>
      </c>
      <c r="G143" t="s">
        <v>13</v>
      </c>
      <c r="H143" s="1">
        <v>46169</v>
      </c>
      <c r="I143">
        <v>0</v>
      </c>
      <c r="J143">
        <v>0.75</v>
      </c>
      <c r="K143">
        <v>0</v>
      </c>
      <c r="L143">
        <v>15</v>
      </c>
      <c r="M143">
        <v>44.104494007989302</v>
      </c>
      <c r="N143">
        <v>1.931</v>
      </c>
      <c r="O143">
        <f>(Table1[[#This Row],[P]]&lt;&gt;0)*(Table1[[#This Row],[C]]&lt;&gt;0)</f>
        <v>0</v>
      </c>
      <c r="P143">
        <f>NETWORKDAYS(Table1[[#This Row],[ts_event]],Table1[[#This Row],[option_expiry_date]])</f>
        <v>26</v>
      </c>
      <c r="Q143">
        <f>Table1[[#This Row],[Column2]]/252</f>
        <v>0.10317460317460317</v>
      </c>
      <c r="R143" s="2" t="e">
        <f>IF(Table1[[#This Row],[CHECK2]]=0,NA(),
-(1/Table1[[#This Row],[T]])*LN((Table1[[#This Row],[S0]]-Table1[[#This Row],[C]]+Table1[[#This Row],[P]])/Table1[[#This Row],[K]])
)</f>
        <v>#N/A</v>
      </c>
    </row>
    <row r="144" spans="1:18">
      <c r="A144">
        <v>1</v>
      </c>
      <c r="B144" t="s">
        <v>10</v>
      </c>
      <c r="C144" s="1">
        <v>46134</v>
      </c>
      <c r="D144" t="s">
        <v>15</v>
      </c>
      <c r="E144">
        <v>30</v>
      </c>
      <c r="F144" t="s">
        <v>12</v>
      </c>
      <c r="G144" t="s">
        <v>13</v>
      </c>
      <c r="H144" s="1">
        <v>46199</v>
      </c>
      <c r="I144">
        <v>0</v>
      </c>
      <c r="J144">
        <v>13.2</v>
      </c>
      <c r="K144">
        <v>0</v>
      </c>
      <c r="L144">
        <v>90</v>
      </c>
      <c r="M144">
        <v>44.149592618832898</v>
      </c>
      <c r="N144">
        <v>1.931</v>
      </c>
      <c r="O144">
        <f>(Table1[[#This Row],[P]]&lt;&gt;0)*(Table1[[#This Row],[C]]&lt;&gt;0)</f>
        <v>0</v>
      </c>
      <c r="P144">
        <f>NETWORKDAYS(Table1[[#This Row],[ts_event]],Table1[[#This Row],[option_expiry_date]])</f>
        <v>48</v>
      </c>
      <c r="Q144">
        <f>Table1[[#This Row],[Column2]]/252</f>
        <v>0.19047619047619047</v>
      </c>
      <c r="R144" s="2" t="e">
        <f>IF(Table1[[#This Row],[CHECK2]]=0,NA(),
-(1/Table1[[#This Row],[T]])*LN((Table1[[#This Row],[S0]]-Table1[[#This Row],[C]]+Table1[[#This Row],[P]])/Table1[[#This Row],[K]])
)</f>
        <v>#N/A</v>
      </c>
    </row>
    <row r="145" spans="1:18">
      <c r="A145">
        <v>1</v>
      </c>
      <c r="B145" t="s">
        <v>10</v>
      </c>
      <c r="C145" s="1">
        <v>46134</v>
      </c>
      <c r="D145" t="s">
        <v>15</v>
      </c>
      <c r="E145">
        <v>34</v>
      </c>
      <c r="F145" t="s">
        <v>12</v>
      </c>
      <c r="G145" t="s">
        <v>13</v>
      </c>
      <c r="H145" s="1">
        <v>46199</v>
      </c>
      <c r="I145">
        <v>0</v>
      </c>
      <c r="J145">
        <v>10.074999999999999</v>
      </c>
      <c r="K145">
        <v>0</v>
      </c>
      <c r="L145">
        <v>80</v>
      </c>
      <c r="M145">
        <v>44.149592618832898</v>
      </c>
      <c r="N145">
        <v>1.931</v>
      </c>
      <c r="O145">
        <f>(Table1[[#This Row],[P]]&lt;&gt;0)*(Table1[[#This Row],[C]]&lt;&gt;0)</f>
        <v>0</v>
      </c>
      <c r="P145">
        <f>NETWORKDAYS(Table1[[#This Row],[ts_event]],Table1[[#This Row],[option_expiry_date]])</f>
        <v>48</v>
      </c>
      <c r="Q145">
        <f>Table1[[#This Row],[Column2]]/252</f>
        <v>0.19047619047619047</v>
      </c>
      <c r="R145" s="2" t="e">
        <f>IF(Table1[[#This Row],[CHECK2]]=0,NA(),
-(1/Table1[[#This Row],[T]])*LN((Table1[[#This Row],[S0]]-Table1[[#This Row],[C]]+Table1[[#This Row],[P]])/Table1[[#This Row],[K]])
)</f>
        <v>#N/A</v>
      </c>
    </row>
    <row r="146" spans="1:18">
      <c r="A146">
        <v>1</v>
      </c>
      <c r="B146" t="s">
        <v>10</v>
      </c>
      <c r="C146" s="1">
        <v>46134</v>
      </c>
      <c r="D146" t="s">
        <v>15</v>
      </c>
      <c r="E146">
        <v>37</v>
      </c>
      <c r="F146" t="s">
        <v>12</v>
      </c>
      <c r="G146" t="s">
        <v>13</v>
      </c>
      <c r="H146" s="1">
        <v>46199</v>
      </c>
      <c r="I146">
        <v>0</v>
      </c>
      <c r="J146">
        <v>8.1999999999999993</v>
      </c>
      <c r="K146">
        <v>0</v>
      </c>
      <c r="L146">
        <v>40</v>
      </c>
      <c r="M146">
        <v>44.149592618832898</v>
      </c>
      <c r="N146">
        <v>1.931</v>
      </c>
      <c r="O146">
        <f>(Table1[[#This Row],[P]]&lt;&gt;0)*(Table1[[#This Row],[C]]&lt;&gt;0)</f>
        <v>0</v>
      </c>
      <c r="P146">
        <f>NETWORKDAYS(Table1[[#This Row],[ts_event]],Table1[[#This Row],[option_expiry_date]])</f>
        <v>48</v>
      </c>
      <c r="Q146">
        <f>Table1[[#This Row],[Column2]]/252</f>
        <v>0.19047619047619047</v>
      </c>
      <c r="R146" s="2" t="e">
        <f>IF(Table1[[#This Row],[CHECK2]]=0,NA(),
-(1/Table1[[#This Row],[T]])*LN((Table1[[#This Row],[S0]]-Table1[[#This Row],[C]]+Table1[[#This Row],[P]])/Table1[[#This Row],[K]])
)</f>
        <v>#N/A</v>
      </c>
    </row>
    <row r="147" spans="1:18">
      <c r="A147">
        <v>1</v>
      </c>
      <c r="B147" t="s">
        <v>10</v>
      </c>
      <c r="C147" s="1">
        <v>46134</v>
      </c>
      <c r="D147" t="s">
        <v>15</v>
      </c>
      <c r="E147">
        <v>45</v>
      </c>
      <c r="F147" t="s">
        <v>12</v>
      </c>
      <c r="G147" t="s">
        <v>13</v>
      </c>
      <c r="H147" s="1">
        <v>46199</v>
      </c>
      <c r="I147">
        <v>0</v>
      </c>
      <c r="J147">
        <v>5.45</v>
      </c>
      <c r="K147">
        <v>0</v>
      </c>
      <c r="L147">
        <v>4700</v>
      </c>
      <c r="M147">
        <v>44.149592618832898</v>
      </c>
      <c r="N147">
        <v>1.931</v>
      </c>
      <c r="O147">
        <f>(Table1[[#This Row],[P]]&lt;&gt;0)*(Table1[[#This Row],[C]]&lt;&gt;0)</f>
        <v>0</v>
      </c>
      <c r="P147">
        <f>NETWORKDAYS(Table1[[#This Row],[ts_event]],Table1[[#This Row],[option_expiry_date]])</f>
        <v>48</v>
      </c>
      <c r="Q147">
        <f>Table1[[#This Row],[Column2]]/252</f>
        <v>0.19047619047619047</v>
      </c>
      <c r="R147" s="2" t="e">
        <f>IF(Table1[[#This Row],[CHECK2]]=0,NA(),
-(1/Table1[[#This Row],[T]])*LN((Table1[[#This Row],[S0]]-Table1[[#This Row],[C]]+Table1[[#This Row],[P]])/Table1[[#This Row],[K]])
)</f>
        <v>#N/A</v>
      </c>
    </row>
    <row r="148" spans="1:18">
      <c r="A148">
        <v>1</v>
      </c>
      <c r="B148" t="s">
        <v>10</v>
      </c>
      <c r="C148" s="1">
        <v>46134</v>
      </c>
      <c r="D148" t="s">
        <v>15</v>
      </c>
      <c r="E148">
        <v>55</v>
      </c>
      <c r="F148" t="s">
        <v>12</v>
      </c>
      <c r="G148" t="s">
        <v>13</v>
      </c>
      <c r="H148" s="1">
        <v>46199</v>
      </c>
      <c r="I148">
        <v>0</v>
      </c>
      <c r="J148">
        <v>3.26</v>
      </c>
      <c r="K148">
        <v>0</v>
      </c>
      <c r="L148">
        <v>4025</v>
      </c>
      <c r="M148">
        <v>44.149592618832898</v>
      </c>
      <c r="N148">
        <v>1.931</v>
      </c>
      <c r="O148">
        <f>(Table1[[#This Row],[P]]&lt;&gt;0)*(Table1[[#This Row],[C]]&lt;&gt;0)</f>
        <v>0</v>
      </c>
      <c r="P148">
        <f>NETWORKDAYS(Table1[[#This Row],[ts_event]],Table1[[#This Row],[option_expiry_date]])</f>
        <v>48</v>
      </c>
      <c r="Q148">
        <f>Table1[[#This Row],[Column2]]/252</f>
        <v>0.19047619047619047</v>
      </c>
      <c r="R148" s="2" t="e">
        <f>IF(Table1[[#This Row],[CHECK2]]=0,NA(),
-(1/Table1[[#This Row],[T]])*LN((Table1[[#This Row],[S0]]-Table1[[#This Row],[C]]+Table1[[#This Row],[P]])/Table1[[#This Row],[K]])
)</f>
        <v>#N/A</v>
      </c>
    </row>
    <row r="149" spans="1:18">
      <c r="A149">
        <v>1</v>
      </c>
      <c r="B149" t="s">
        <v>10</v>
      </c>
      <c r="C149" s="1">
        <v>46134</v>
      </c>
      <c r="D149" t="s">
        <v>15</v>
      </c>
      <c r="E149">
        <v>60</v>
      </c>
      <c r="F149" t="s">
        <v>12</v>
      </c>
      <c r="G149" t="s">
        <v>13</v>
      </c>
      <c r="H149" s="1">
        <v>46199</v>
      </c>
      <c r="I149">
        <v>0</v>
      </c>
      <c r="J149">
        <v>2.4500000000000002</v>
      </c>
      <c r="K149">
        <v>0</v>
      </c>
      <c r="L149">
        <v>20</v>
      </c>
      <c r="M149">
        <v>44.149592618832898</v>
      </c>
      <c r="N149">
        <v>1.931</v>
      </c>
      <c r="O149">
        <f>(Table1[[#This Row],[P]]&lt;&gt;0)*(Table1[[#This Row],[C]]&lt;&gt;0)</f>
        <v>0</v>
      </c>
      <c r="P149">
        <f>NETWORKDAYS(Table1[[#This Row],[ts_event]],Table1[[#This Row],[option_expiry_date]])</f>
        <v>48</v>
      </c>
      <c r="Q149">
        <f>Table1[[#This Row],[Column2]]/252</f>
        <v>0.19047619047619047</v>
      </c>
      <c r="R149" s="2" t="e">
        <f>IF(Table1[[#This Row],[CHECK2]]=0,NA(),
-(1/Table1[[#This Row],[T]])*LN((Table1[[#This Row],[S0]]-Table1[[#This Row],[C]]+Table1[[#This Row],[P]])/Table1[[#This Row],[K]])
)</f>
        <v>#N/A</v>
      </c>
    </row>
    <row r="150" spans="1:18">
      <c r="A150">
        <v>1</v>
      </c>
      <c r="B150" t="s">
        <v>10</v>
      </c>
      <c r="C150" s="1">
        <v>46134</v>
      </c>
      <c r="D150" t="s">
        <v>15</v>
      </c>
      <c r="E150">
        <v>65</v>
      </c>
      <c r="F150" t="s">
        <v>12</v>
      </c>
      <c r="G150" t="s">
        <v>13</v>
      </c>
      <c r="H150" s="1">
        <v>46199</v>
      </c>
      <c r="I150">
        <v>0</v>
      </c>
      <c r="J150">
        <v>1.9</v>
      </c>
      <c r="K150">
        <v>0</v>
      </c>
      <c r="L150">
        <v>10</v>
      </c>
      <c r="M150">
        <v>44.149592618832898</v>
      </c>
      <c r="N150">
        <v>1.931</v>
      </c>
      <c r="O150">
        <f>(Table1[[#This Row],[P]]&lt;&gt;0)*(Table1[[#This Row],[C]]&lt;&gt;0)</f>
        <v>0</v>
      </c>
      <c r="P150">
        <f>NETWORKDAYS(Table1[[#This Row],[ts_event]],Table1[[#This Row],[option_expiry_date]])</f>
        <v>48</v>
      </c>
      <c r="Q150">
        <f>Table1[[#This Row],[Column2]]/252</f>
        <v>0.19047619047619047</v>
      </c>
      <c r="R150" s="2" t="e">
        <f>IF(Table1[[#This Row],[CHECK2]]=0,NA(),
-(1/Table1[[#This Row],[T]])*LN((Table1[[#This Row],[S0]]-Table1[[#This Row],[C]]+Table1[[#This Row],[P]])/Table1[[#This Row],[K]])
)</f>
        <v>#N/A</v>
      </c>
    </row>
    <row r="151" spans="1:18">
      <c r="A151">
        <v>1</v>
      </c>
      <c r="B151" t="s">
        <v>10</v>
      </c>
      <c r="C151" s="1">
        <v>46134</v>
      </c>
      <c r="D151" t="s">
        <v>16</v>
      </c>
      <c r="E151">
        <v>35</v>
      </c>
      <c r="F151" t="s">
        <v>12</v>
      </c>
      <c r="G151" t="s">
        <v>13</v>
      </c>
      <c r="H151" s="1">
        <v>46230</v>
      </c>
      <c r="I151">
        <v>1.9450000000000001</v>
      </c>
      <c r="J151">
        <v>0</v>
      </c>
      <c r="K151">
        <v>50</v>
      </c>
      <c r="L151">
        <v>0</v>
      </c>
      <c r="M151">
        <v>44.109352720854098</v>
      </c>
      <c r="N151">
        <v>1.931</v>
      </c>
      <c r="O151">
        <f>(Table1[[#This Row],[P]]&lt;&gt;0)*(Table1[[#This Row],[C]]&lt;&gt;0)</f>
        <v>0</v>
      </c>
      <c r="P151">
        <f>NETWORKDAYS(Table1[[#This Row],[ts_event]],Table1[[#This Row],[option_expiry_date]])</f>
        <v>69</v>
      </c>
      <c r="Q151">
        <f>Table1[[#This Row],[Column2]]/252</f>
        <v>0.27380952380952384</v>
      </c>
      <c r="R151" s="2" t="e">
        <f>IF(Table1[[#This Row],[CHECK2]]=0,NA(),
-(1/Table1[[#This Row],[T]])*LN((Table1[[#This Row],[S0]]-Table1[[#This Row],[C]]+Table1[[#This Row],[P]])/Table1[[#This Row],[K]])
)</f>
        <v>#N/A</v>
      </c>
    </row>
    <row r="152" spans="1:18">
      <c r="A152">
        <v>1</v>
      </c>
      <c r="B152" t="s">
        <v>10</v>
      </c>
      <c r="C152" s="1">
        <v>46134</v>
      </c>
      <c r="D152" t="s">
        <v>16</v>
      </c>
      <c r="E152">
        <v>45</v>
      </c>
      <c r="F152" t="s">
        <v>12</v>
      </c>
      <c r="G152" t="s">
        <v>13</v>
      </c>
      <c r="H152" s="1">
        <v>46230</v>
      </c>
      <c r="I152">
        <v>0</v>
      </c>
      <c r="J152">
        <v>5.7750000000000004</v>
      </c>
      <c r="K152">
        <v>0</v>
      </c>
      <c r="L152">
        <v>925</v>
      </c>
      <c r="M152">
        <v>44.109352720854098</v>
      </c>
      <c r="N152">
        <v>1.931</v>
      </c>
      <c r="O152">
        <f>(Table1[[#This Row],[P]]&lt;&gt;0)*(Table1[[#This Row],[C]]&lt;&gt;0)</f>
        <v>0</v>
      </c>
      <c r="P152">
        <f>NETWORKDAYS(Table1[[#This Row],[ts_event]],Table1[[#This Row],[option_expiry_date]])</f>
        <v>69</v>
      </c>
      <c r="Q152">
        <f>Table1[[#This Row],[Column2]]/252</f>
        <v>0.27380952380952384</v>
      </c>
      <c r="R152" s="2" t="e">
        <f>IF(Table1[[#This Row],[CHECK2]]=0,NA(),
-(1/Table1[[#This Row],[T]])*LN((Table1[[#This Row],[S0]]-Table1[[#This Row],[C]]+Table1[[#This Row],[P]])/Table1[[#This Row],[K]])
)</f>
        <v>#N/A</v>
      </c>
    </row>
    <row r="153" spans="1:18">
      <c r="A153">
        <v>1</v>
      </c>
      <c r="B153" t="s">
        <v>10</v>
      </c>
      <c r="C153" s="1">
        <v>46134</v>
      </c>
      <c r="D153" t="s">
        <v>16</v>
      </c>
      <c r="E153">
        <v>50</v>
      </c>
      <c r="F153" t="s">
        <v>12</v>
      </c>
      <c r="G153" t="s">
        <v>13</v>
      </c>
      <c r="H153" s="1">
        <v>46230</v>
      </c>
      <c r="I153">
        <v>0</v>
      </c>
      <c r="J153">
        <v>4.3150000000000004</v>
      </c>
      <c r="K153">
        <v>0</v>
      </c>
      <c r="L153">
        <v>725</v>
      </c>
      <c r="M153">
        <v>44.109352720854098</v>
      </c>
      <c r="N153">
        <v>1.931</v>
      </c>
      <c r="O153">
        <f>(Table1[[#This Row],[P]]&lt;&gt;0)*(Table1[[#This Row],[C]]&lt;&gt;0)</f>
        <v>0</v>
      </c>
      <c r="P153">
        <f>NETWORKDAYS(Table1[[#This Row],[ts_event]],Table1[[#This Row],[option_expiry_date]])</f>
        <v>69</v>
      </c>
      <c r="Q153">
        <f>Table1[[#This Row],[Column2]]/252</f>
        <v>0.27380952380952384</v>
      </c>
      <c r="R153" s="2" t="e">
        <f>IF(Table1[[#This Row],[CHECK2]]=0,NA(),
-(1/Table1[[#This Row],[T]])*LN((Table1[[#This Row],[S0]]-Table1[[#This Row],[C]]+Table1[[#This Row],[P]])/Table1[[#This Row],[K]])
)</f>
        <v>#N/A</v>
      </c>
    </row>
    <row r="154" spans="1:18">
      <c r="A154">
        <v>1</v>
      </c>
      <c r="B154" t="s">
        <v>10</v>
      </c>
      <c r="C154" s="1">
        <v>46134</v>
      </c>
      <c r="D154" t="s">
        <v>16</v>
      </c>
      <c r="E154">
        <v>55</v>
      </c>
      <c r="F154" t="s">
        <v>12</v>
      </c>
      <c r="G154" t="s">
        <v>13</v>
      </c>
      <c r="H154" s="1">
        <v>46230</v>
      </c>
      <c r="I154">
        <v>0</v>
      </c>
      <c r="J154">
        <v>3.625</v>
      </c>
      <c r="K154">
        <v>0</v>
      </c>
      <c r="L154">
        <v>250</v>
      </c>
      <c r="M154">
        <v>44.109352720854098</v>
      </c>
      <c r="N154">
        <v>1.931</v>
      </c>
      <c r="O154">
        <f>(Table1[[#This Row],[P]]&lt;&gt;0)*(Table1[[#This Row],[C]]&lt;&gt;0)</f>
        <v>0</v>
      </c>
      <c r="P154">
        <f>NETWORKDAYS(Table1[[#This Row],[ts_event]],Table1[[#This Row],[option_expiry_date]])</f>
        <v>69</v>
      </c>
      <c r="Q154">
        <f>Table1[[#This Row],[Column2]]/252</f>
        <v>0.27380952380952384</v>
      </c>
      <c r="R154" s="2" t="e">
        <f>IF(Table1[[#This Row],[CHECK2]]=0,NA(),
-(1/Table1[[#This Row],[T]])*LN((Table1[[#This Row],[S0]]-Table1[[#This Row],[C]]+Table1[[#This Row],[P]])/Table1[[#This Row],[K]])
)</f>
        <v>#N/A</v>
      </c>
    </row>
    <row r="155" spans="1:18">
      <c r="A155">
        <v>1</v>
      </c>
      <c r="B155" t="s">
        <v>10</v>
      </c>
      <c r="C155" s="1">
        <v>46134</v>
      </c>
      <c r="D155" t="s">
        <v>17</v>
      </c>
      <c r="E155">
        <v>50</v>
      </c>
      <c r="F155" t="s">
        <v>12</v>
      </c>
      <c r="G155" t="s">
        <v>13</v>
      </c>
      <c r="H155" s="1">
        <v>46260</v>
      </c>
      <c r="I155">
        <v>0</v>
      </c>
      <c r="J155">
        <v>4.8499999999999996</v>
      </c>
      <c r="K155">
        <v>0</v>
      </c>
      <c r="L155">
        <v>1275</v>
      </c>
      <c r="M155">
        <v>44.073259613563103</v>
      </c>
      <c r="N155">
        <v>1.931</v>
      </c>
      <c r="O155">
        <f>(Table1[[#This Row],[P]]&lt;&gt;0)*(Table1[[#This Row],[C]]&lt;&gt;0)</f>
        <v>0</v>
      </c>
      <c r="P155">
        <f>NETWORKDAYS(Table1[[#This Row],[ts_event]],Table1[[#This Row],[option_expiry_date]])</f>
        <v>91</v>
      </c>
      <c r="Q155">
        <f>Table1[[#This Row],[Column2]]/252</f>
        <v>0.3611111111111111</v>
      </c>
      <c r="R155" s="2" t="e">
        <f>IF(Table1[[#This Row],[CHECK2]]=0,NA(),
-(1/Table1[[#This Row],[T]])*LN((Table1[[#This Row],[S0]]-Table1[[#This Row],[C]]+Table1[[#This Row],[P]])/Table1[[#This Row],[K]])
)</f>
        <v>#N/A</v>
      </c>
    </row>
    <row r="156" spans="1:18">
      <c r="A156">
        <v>1</v>
      </c>
      <c r="B156" t="s">
        <v>10</v>
      </c>
      <c r="C156" s="1">
        <v>46134</v>
      </c>
      <c r="D156" t="s">
        <v>17</v>
      </c>
      <c r="E156">
        <v>60</v>
      </c>
      <c r="F156" t="s">
        <v>12</v>
      </c>
      <c r="G156" t="s">
        <v>13</v>
      </c>
      <c r="H156" s="1">
        <v>46260</v>
      </c>
      <c r="I156">
        <v>0</v>
      </c>
      <c r="J156">
        <v>3.26</v>
      </c>
      <c r="K156">
        <v>0</v>
      </c>
      <c r="L156">
        <v>730</v>
      </c>
      <c r="M156">
        <v>44.073259613563103</v>
      </c>
      <c r="N156">
        <v>1.931</v>
      </c>
      <c r="O156">
        <f>(Table1[[#This Row],[P]]&lt;&gt;0)*(Table1[[#This Row],[C]]&lt;&gt;0)</f>
        <v>0</v>
      </c>
      <c r="P156">
        <f>NETWORKDAYS(Table1[[#This Row],[ts_event]],Table1[[#This Row],[option_expiry_date]])</f>
        <v>91</v>
      </c>
      <c r="Q156">
        <f>Table1[[#This Row],[Column2]]/252</f>
        <v>0.3611111111111111</v>
      </c>
      <c r="R156" s="2" t="e">
        <f>IF(Table1[[#This Row],[CHECK2]]=0,NA(),
-(1/Table1[[#This Row],[T]])*LN((Table1[[#This Row],[S0]]-Table1[[#This Row],[C]]+Table1[[#This Row],[P]])/Table1[[#This Row],[K]])
)</f>
        <v>#N/A</v>
      </c>
    </row>
    <row r="157" spans="1:18">
      <c r="A157">
        <v>1</v>
      </c>
      <c r="B157" t="s">
        <v>10</v>
      </c>
      <c r="C157" s="1">
        <v>46134</v>
      </c>
      <c r="D157" t="s">
        <v>18</v>
      </c>
      <c r="E157">
        <v>50</v>
      </c>
      <c r="F157" t="s">
        <v>12</v>
      </c>
      <c r="G157" t="s">
        <v>13</v>
      </c>
      <c r="H157" s="1">
        <v>46290</v>
      </c>
      <c r="I157">
        <v>0</v>
      </c>
      <c r="J157">
        <v>5.12</v>
      </c>
      <c r="K157">
        <v>0</v>
      </c>
      <c r="L157">
        <v>60</v>
      </c>
      <c r="M157">
        <v>43.8026174539837</v>
      </c>
      <c r="N157">
        <v>1.931</v>
      </c>
      <c r="O157">
        <f>(Table1[[#This Row],[P]]&lt;&gt;0)*(Table1[[#This Row],[C]]&lt;&gt;0)</f>
        <v>0</v>
      </c>
      <c r="P157">
        <f>NETWORKDAYS(Table1[[#This Row],[ts_event]],Table1[[#This Row],[option_expiry_date]])</f>
        <v>113</v>
      </c>
      <c r="Q157">
        <f>Table1[[#This Row],[Column2]]/252</f>
        <v>0.44841269841269843</v>
      </c>
      <c r="R157" s="2" t="e">
        <f>IF(Table1[[#This Row],[CHECK2]]=0,NA(),
-(1/Table1[[#This Row],[T]])*LN((Table1[[#This Row],[S0]]-Table1[[#This Row],[C]]+Table1[[#This Row],[P]])/Table1[[#This Row],[K]])
)</f>
        <v>#N/A</v>
      </c>
    </row>
    <row r="158" spans="1:18">
      <c r="A158">
        <v>1</v>
      </c>
      <c r="B158" t="s">
        <v>10</v>
      </c>
      <c r="C158" s="1">
        <v>46134</v>
      </c>
      <c r="D158" t="s">
        <v>18</v>
      </c>
      <c r="E158">
        <v>70</v>
      </c>
      <c r="F158" t="s">
        <v>12</v>
      </c>
      <c r="G158" t="s">
        <v>13</v>
      </c>
      <c r="H158" s="1">
        <v>46290</v>
      </c>
      <c r="I158">
        <v>0</v>
      </c>
      <c r="J158">
        <v>2.57</v>
      </c>
      <c r="K158">
        <v>0</v>
      </c>
      <c r="L158">
        <v>50</v>
      </c>
      <c r="M158">
        <v>43.8026174539837</v>
      </c>
      <c r="N158">
        <v>1.931</v>
      </c>
      <c r="O158">
        <f>(Table1[[#This Row],[P]]&lt;&gt;0)*(Table1[[#This Row],[C]]&lt;&gt;0)</f>
        <v>0</v>
      </c>
      <c r="P158">
        <f>NETWORKDAYS(Table1[[#This Row],[ts_event]],Table1[[#This Row],[option_expiry_date]])</f>
        <v>113</v>
      </c>
      <c r="Q158">
        <f>Table1[[#This Row],[Column2]]/252</f>
        <v>0.44841269841269843</v>
      </c>
      <c r="R158" s="2" t="e">
        <f>IF(Table1[[#This Row],[CHECK2]]=0,NA(),
-(1/Table1[[#This Row],[T]])*LN((Table1[[#This Row],[S0]]-Table1[[#This Row],[C]]+Table1[[#This Row],[P]])/Table1[[#This Row],[K]])
)</f>
        <v>#N/A</v>
      </c>
    </row>
    <row r="159" spans="1:18">
      <c r="A159">
        <v>1</v>
      </c>
      <c r="B159" t="s">
        <v>10</v>
      </c>
      <c r="C159" s="1">
        <v>46134</v>
      </c>
      <c r="D159" t="s">
        <v>20</v>
      </c>
      <c r="E159">
        <v>70</v>
      </c>
      <c r="F159" t="s">
        <v>12</v>
      </c>
      <c r="G159" t="s">
        <v>13</v>
      </c>
      <c r="H159" s="1">
        <v>46352</v>
      </c>
      <c r="I159">
        <v>0</v>
      </c>
      <c r="J159">
        <v>3.5</v>
      </c>
      <c r="K159">
        <v>0</v>
      </c>
      <c r="L159">
        <v>225</v>
      </c>
      <c r="M159">
        <v>43.259828037383102</v>
      </c>
      <c r="N159">
        <v>1.931</v>
      </c>
      <c r="O159">
        <f>(Table1[[#This Row],[P]]&lt;&gt;0)*(Table1[[#This Row],[C]]&lt;&gt;0)</f>
        <v>0</v>
      </c>
      <c r="P159">
        <f>NETWORKDAYS(Table1[[#This Row],[ts_event]],Table1[[#This Row],[option_expiry_date]])</f>
        <v>157</v>
      </c>
      <c r="Q159">
        <f>Table1[[#This Row],[Column2]]/252</f>
        <v>0.62301587301587302</v>
      </c>
      <c r="R159" s="2" t="e">
        <f>IF(Table1[[#This Row],[CHECK2]]=0,NA(),
-(1/Table1[[#This Row],[T]])*LN((Table1[[#This Row],[S0]]-Table1[[#This Row],[C]]+Table1[[#This Row],[P]])/Table1[[#This Row],[K]])
)</f>
        <v>#N/A</v>
      </c>
    </row>
    <row r="160" spans="1:18">
      <c r="A160">
        <v>1</v>
      </c>
      <c r="B160" t="s">
        <v>10</v>
      </c>
      <c r="C160" s="1">
        <v>46134</v>
      </c>
      <c r="D160" t="s">
        <v>19</v>
      </c>
      <c r="E160">
        <v>50</v>
      </c>
      <c r="F160" t="s">
        <v>12</v>
      </c>
      <c r="G160" t="s">
        <v>13</v>
      </c>
      <c r="H160" s="1">
        <v>46380</v>
      </c>
      <c r="I160">
        <v>0</v>
      </c>
      <c r="J160">
        <v>7.1</v>
      </c>
      <c r="K160">
        <v>0</v>
      </c>
      <c r="L160">
        <v>510</v>
      </c>
      <c r="M160">
        <v>43.035610052695503</v>
      </c>
      <c r="N160">
        <v>1.931</v>
      </c>
      <c r="O160">
        <f>(Table1[[#This Row],[P]]&lt;&gt;0)*(Table1[[#This Row],[C]]&lt;&gt;0)</f>
        <v>0</v>
      </c>
      <c r="P160">
        <f>NETWORKDAYS(Table1[[#This Row],[ts_event]],Table1[[#This Row],[option_expiry_date]])</f>
        <v>177</v>
      </c>
      <c r="Q160">
        <f>Table1[[#This Row],[Column2]]/252</f>
        <v>0.70238095238095233</v>
      </c>
      <c r="R160" s="2" t="e">
        <f>IF(Table1[[#This Row],[CHECK2]]=0,NA(),
-(1/Table1[[#This Row],[T]])*LN((Table1[[#This Row],[S0]]-Table1[[#This Row],[C]]+Table1[[#This Row],[P]])/Table1[[#This Row],[K]])
)</f>
        <v>#N/A</v>
      </c>
    </row>
    <row r="161" spans="1:18">
      <c r="A161">
        <v>1</v>
      </c>
      <c r="B161" t="s">
        <v>10</v>
      </c>
      <c r="C161" s="1">
        <v>46134</v>
      </c>
      <c r="D161" t="s">
        <v>19</v>
      </c>
      <c r="E161">
        <v>85</v>
      </c>
      <c r="F161" t="s">
        <v>12</v>
      </c>
      <c r="G161" t="s">
        <v>13</v>
      </c>
      <c r="H161" s="1">
        <v>46380</v>
      </c>
      <c r="I161">
        <v>0</v>
      </c>
      <c r="J161">
        <v>3.3</v>
      </c>
      <c r="K161">
        <v>0</v>
      </c>
      <c r="L161">
        <v>49</v>
      </c>
      <c r="M161">
        <v>43.035610052695503</v>
      </c>
      <c r="N161">
        <v>1.931</v>
      </c>
      <c r="O161">
        <f>(Table1[[#This Row],[P]]&lt;&gt;0)*(Table1[[#This Row],[C]]&lt;&gt;0)</f>
        <v>0</v>
      </c>
      <c r="P161">
        <f>NETWORKDAYS(Table1[[#This Row],[ts_event]],Table1[[#This Row],[option_expiry_date]])</f>
        <v>177</v>
      </c>
      <c r="Q161">
        <f>Table1[[#This Row],[Column2]]/252</f>
        <v>0.70238095238095233</v>
      </c>
      <c r="R161" s="2" t="e">
        <f>IF(Table1[[#This Row],[CHECK2]]=0,NA(),
-(1/Table1[[#This Row],[T]])*LN((Table1[[#This Row],[S0]]-Table1[[#This Row],[C]]+Table1[[#This Row],[P]])/Table1[[#This Row],[K]])
)</f>
        <v>#N/A</v>
      </c>
    </row>
    <row r="162" spans="1:18">
      <c r="A162">
        <v>1</v>
      </c>
      <c r="B162" t="s">
        <v>10</v>
      </c>
      <c r="C162" s="1">
        <v>46135</v>
      </c>
      <c r="D162" t="s">
        <v>11</v>
      </c>
      <c r="E162">
        <v>35</v>
      </c>
      <c r="F162" t="s">
        <v>12</v>
      </c>
      <c r="G162" t="s">
        <v>13</v>
      </c>
      <c r="H162" s="1">
        <v>46136</v>
      </c>
      <c r="I162">
        <v>0.01</v>
      </c>
      <c r="J162">
        <v>0</v>
      </c>
      <c r="K162">
        <v>1700</v>
      </c>
      <c r="L162">
        <v>0</v>
      </c>
      <c r="M162">
        <v>44.808492367351299</v>
      </c>
      <c r="N162">
        <v>1.9330000000000001</v>
      </c>
      <c r="O162">
        <f>(Table1[[#This Row],[P]]&lt;&gt;0)*(Table1[[#This Row],[C]]&lt;&gt;0)</f>
        <v>0</v>
      </c>
      <c r="P162">
        <f>NETWORKDAYS(Table1[[#This Row],[ts_event]],Table1[[#This Row],[option_expiry_date]])</f>
        <v>2</v>
      </c>
      <c r="Q162">
        <f>Table1[[#This Row],[Column2]]/252</f>
        <v>7.9365079365079361E-3</v>
      </c>
      <c r="R162" s="2" t="e">
        <f>IF(Table1[[#This Row],[CHECK2]]=0,NA(),
-(1/Table1[[#This Row],[T]])*LN((Table1[[#This Row],[S0]]-Table1[[#This Row],[C]]+Table1[[#This Row],[P]])/Table1[[#This Row],[K]])
)</f>
        <v>#N/A</v>
      </c>
    </row>
    <row r="163" spans="1:18">
      <c r="A163">
        <v>1</v>
      </c>
      <c r="B163" t="s">
        <v>10</v>
      </c>
      <c r="C163" s="1">
        <v>46135</v>
      </c>
      <c r="D163" t="s">
        <v>11</v>
      </c>
      <c r="E163">
        <v>38</v>
      </c>
      <c r="F163" t="s">
        <v>12</v>
      </c>
      <c r="G163" t="s">
        <v>13</v>
      </c>
      <c r="H163" s="1">
        <v>46136</v>
      </c>
      <c r="I163">
        <v>0.04</v>
      </c>
      <c r="J163">
        <v>0</v>
      </c>
      <c r="K163">
        <v>1700</v>
      </c>
      <c r="L163">
        <v>0</v>
      </c>
      <c r="M163">
        <v>44.808492367351299</v>
      </c>
      <c r="N163">
        <v>1.9330000000000001</v>
      </c>
      <c r="O163">
        <f>(Table1[[#This Row],[P]]&lt;&gt;0)*(Table1[[#This Row],[C]]&lt;&gt;0)</f>
        <v>0</v>
      </c>
      <c r="P163">
        <f>NETWORKDAYS(Table1[[#This Row],[ts_event]],Table1[[#This Row],[option_expiry_date]])</f>
        <v>2</v>
      </c>
      <c r="Q163">
        <f>Table1[[#This Row],[Column2]]/252</f>
        <v>7.9365079365079361E-3</v>
      </c>
      <c r="R163" s="2" t="e">
        <f>IF(Table1[[#This Row],[CHECK2]]=0,NA(),
-(1/Table1[[#This Row],[T]])*LN((Table1[[#This Row],[S0]]-Table1[[#This Row],[C]]+Table1[[#This Row],[P]])/Table1[[#This Row],[K]])
)</f>
        <v>#N/A</v>
      </c>
    </row>
    <row r="164" spans="1:18">
      <c r="A164">
        <v>2</v>
      </c>
      <c r="B164" t="s">
        <v>10</v>
      </c>
      <c r="C164" s="1">
        <v>46135</v>
      </c>
      <c r="D164" t="s">
        <v>11</v>
      </c>
      <c r="E164">
        <v>40</v>
      </c>
      <c r="F164" t="s">
        <v>12</v>
      </c>
      <c r="G164" t="s">
        <v>13</v>
      </c>
      <c r="H164" s="1">
        <v>46136</v>
      </c>
      <c r="I164">
        <v>6.4654377880184299E-2</v>
      </c>
      <c r="J164">
        <v>0</v>
      </c>
      <c r="K164">
        <v>3255</v>
      </c>
      <c r="L164">
        <v>0</v>
      </c>
      <c r="M164">
        <v>44.808492367351299</v>
      </c>
      <c r="N164">
        <v>1.9330000000000001</v>
      </c>
      <c r="O164">
        <f>(Table1[[#This Row],[P]]&lt;&gt;0)*(Table1[[#This Row],[C]]&lt;&gt;0)</f>
        <v>0</v>
      </c>
      <c r="P164">
        <f>NETWORKDAYS(Table1[[#This Row],[ts_event]],Table1[[#This Row],[option_expiry_date]])</f>
        <v>2</v>
      </c>
      <c r="Q164">
        <f>Table1[[#This Row],[Column2]]/252</f>
        <v>7.9365079365079361E-3</v>
      </c>
      <c r="R164" s="2" t="e">
        <f>IF(Table1[[#This Row],[CHECK2]]=0,NA(),
-(1/Table1[[#This Row],[T]])*LN((Table1[[#This Row],[S0]]-Table1[[#This Row],[C]]+Table1[[#This Row],[P]])/Table1[[#This Row],[K]])
)</f>
        <v>#N/A</v>
      </c>
    </row>
    <row r="165" spans="1:18">
      <c r="A165">
        <v>3</v>
      </c>
      <c r="B165" t="s">
        <v>10</v>
      </c>
      <c r="C165" s="1">
        <v>46135</v>
      </c>
      <c r="D165" t="s">
        <v>11</v>
      </c>
      <c r="E165">
        <v>42</v>
      </c>
      <c r="F165" t="s">
        <v>12</v>
      </c>
      <c r="G165" t="s">
        <v>13</v>
      </c>
      <c r="H165" s="1">
        <v>46136</v>
      </c>
      <c r="I165">
        <v>0.122311827956989</v>
      </c>
      <c r="J165">
        <v>3.74</v>
      </c>
      <c r="K165">
        <v>465</v>
      </c>
      <c r="L165">
        <v>50</v>
      </c>
      <c r="M165">
        <v>44.808492367351299</v>
      </c>
      <c r="N165">
        <v>1.9330000000000001</v>
      </c>
      <c r="O165">
        <f>(Table1[[#This Row],[P]]&lt;&gt;0)*(Table1[[#This Row],[C]]&lt;&gt;0)</f>
        <v>1</v>
      </c>
      <c r="P165">
        <f>NETWORKDAYS(Table1[[#This Row],[ts_event]],Table1[[#This Row],[option_expiry_date]])</f>
        <v>2</v>
      </c>
      <c r="Q165">
        <f>Table1[[#This Row],[Column2]]/252</f>
        <v>7.9365079365079361E-3</v>
      </c>
      <c r="R165" s="2">
        <f>IF(Table1[[#This Row],[CHECK2]]=0,NA(),
-(1/Table1[[#This Row],[T]])*LN((Table1[[#This Row],[S0]]-Table1[[#This Row],[C]]+Table1[[#This Row],[P]])/Table1[[#This Row],[K]])
)</f>
        <v>2.4512778339242915</v>
      </c>
    </row>
    <row r="166" spans="1:18">
      <c r="A166">
        <v>2</v>
      </c>
      <c r="B166" t="s">
        <v>10</v>
      </c>
      <c r="C166" s="1">
        <v>46135</v>
      </c>
      <c r="D166" t="s">
        <v>11</v>
      </c>
      <c r="E166">
        <v>43</v>
      </c>
      <c r="F166" t="s">
        <v>12</v>
      </c>
      <c r="G166" t="s">
        <v>13</v>
      </c>
      <c r="H166" s="1">
        <v>46136</v>
      </c>
      <c r="I166">
        <v>0.57999999999999996</v>
      </c>
      <c r="J166">
        <v>1.99</v>
      </c>
      <c r="K166">
        <v>2600</v>
      </c>
      <c r="L166">
        <v>700</v>
      </c>
      <c r="M166">
        <v>44.808492367351299</v>
      </c>
      <c r="N166">
        <v>1.9330000000000001</v>
      </c>
      <c r="O166">
        <f>(Table1[[#This Row],[P]]&lt;&gt;0)*(Table1[[#This Row],[C]]&lt;&gt;0)</f>
        <v>1</v>
      </c>
      <c r="P166">
        <f>NETWORKDAYS(Table1[[#This Row],[ts_event]],Table1[[#This Row],[option_expiry_date]])</f>
        <v>2</v>
      </c>
      <c r="Q166">
        <f>Table1[[#This Row],[Column2]]/252</f>
        <v>7.9365079365079361E-3</v>
      </c>
      <c r="R166" s="2">
        <f>IF(Table1[[#This Row],[CHECK2]]=0,NA(),
-(1/Table1[[#This Row],[T]])*LN((Table1[[#This Row],[S0]]-Table1[[#This Row],[C]]+Table1[[#This Row],[P]])/Table1[[#This Row],[K]])
)</f>
        <v>-1.1622979279740093</v>
      </c>
    </row>
    <row r="167" spans="1:18">
      <c r="A167">
        <v>4</v>
      </c>
      <c r="B167" t="s">
        <v>10</v>
      </c>
      <c r="C167" s="1">
        <v>46135</v>
      </c>
      <c r="D167" t="s">
        <v>11</v>
      </c>
      <c r="E167">
        <v>44</v>
      </c>
      <c r="F167" t="s">
        <v>12</v>
      </c>
      <c r="G167" t="s">
        <v>13</v>
      </c>
      <c r="H167" s="1">
        <v>46136</v>
      </c>
      <c r="I167">
        <v>1.1030188679245201</v>
      </c>
      <c r="J167">
        <v>1.2204494382022399</v>
      </c>
      <c r="K167">
        <v>1325</v>
      </c>
      <c r="L167">
        <v>3560</v>
      </c>
      <c r="M167">
        <v>44.808492367351299</v>
      </c>
      <c r="N167">
        <v>1.9330000000000001</v>
      </c>
      <c r="O167">
        <f>(Table1[[#This Row],[P]]&lt;&gt;0)*(Table1[[#This Row],[C]]&lt;&gt;0)</f>
        <v>1</v>
      </c>
      <c r="P167">
        <f>NETWORKDAYS(Table1[[#This Row],[ts_event]],Table1[[#This Row],[option_expiry_date]])</f>
        <v>2</v>
      </c>
      <c r="Q167">
        <f>Table1[[#This Row],[Column2]]/252</f>
        <v>7.9365079365079361E-3</v>
      </c>
      <c r="R167" s="2">
        <f>IF(Table1[[#This Row],[CHECK2]]=0,NA(),
-(1/Table1[[#This Row],[T]])*LN((Table1[[#This Row],[S0]]-Table1[[#This Row],[C]]+Table1[[#This Row],[P]])/Table1[[#This Row],[K]])
)</f>
        <v>-1.9635698766127025</v>
      </c>
    </row>
    <row r="168" spans="1:18">
      <c r="A168">
        <v>4</v>
      </c>
      <c r="B168" t="s">
        <v>10</v>
      </c>
      <c r="C168" s="1">
        <v>46135</v>
      </c>
      <c r="D168" t="s">
        <v>11</v>
      </c>
      <c r="E168">
        <v>45</v>
      </c>
      <c r="F168" t="s">
        <v>12</v>
      </c>
      <c r="G168" t="s">
        <v>13</v>
      </c>
      <c r="H168" s="1">
        <v>46136</v>
      </c>
      <c r="I168">
        <v>1.3548033707865099</v>
      </c>
      <c r="J168">
        <v>0.77085876198779402</v>
      </c>
      <c r="K168">
        <v>4450</v>
      </c>
      <c r="L168">
        <v>5735</v>
      </c>
      <c r="M168">
        <v>44.808492367351299</v>
      </c>
      <c r="N168">
        <v>1.9330000000000001</v>
      </c>
      <c r="O168">
        <f>(Table1[[#This Row],[P]]&lt;&gt;0)*(Table1[[#This Row],[C]]&lt;&gt;0)</f>
        <v>1</v>
      </c>
      <c r="P168">
        <f>NETWORKDAYS(Table1[[#This Row],[ts_event]],Table1[[#This Row],[option_expiry_date]])</f>
        <v>2</v>
      </c>
      <c r="Q168">
        <f>Table1[[#This Row],[Column2]]/252</f>
        <v>7.9365079365079361E-3</v>
      </c>
      <c r="R168" s="2">
        <f>IF(Table1[[#This Row],[CHECK2]]=0,NA(),
-(1/Table1[[#This Row],[T]])*LN((Table1[[#This Row],[S0]]-Table1[[#This Row],[C]]+Table1[[#This Row],[P]])/Table1[[#This Row],[K]])
)</f>
        <v>-1.0940598864100746</v>
      </c>
    </row>
    <row r="169" spans="1:18">
      <c r="A169">
        <v>3</v>
      </c>
      <c r="B169" t="s">
        <v>10</v>
      </c>
      <c r="C169" s="1">
        <v>46135</v>
      </c>
      <c r="D169" t="s">
        <v>11</v>
      </c>
      <c r="E169">
        <v>46</v>
      </c>
      <c r="F169" t="s">
        <v>12</v>
      </c>
      <c r="G169" t="s">
        <v>13</v>
      </c>
      <c r="H169" s="1">
        <v>46136</v>
      </c>
      <c r="I169">
        <v>2.2400000000000002</v>
      </c>
      <c r="J169">
        <v>0.476453488372093</v>
      </c>
      <c r="K169">
        <v>250</v>
      </c>
      <c r="L169">
        <v>4300</v>
      </c>
      <c r="M169">
        <v>44.808492367351299</v>
      </c>
      <c r="N169">
        <v>1.9330000000000001</v>
      </c>
      <c r="O169">
        <f>(Table1[[#This Row],[P]]&lt;&gt;0)*(Table1[[#This Row],[C]]&lt;&gt;0)</f>
        <v>1</v>
      </c>
      <c r="P169">
        <f>NETWORKDAYS(Table1[[#This Row],[ts_event]],Table1[[#This Row],[option_expiry_date]])</f>
        <v>2</v>
      </c>
      <c r="Q169">
        <f>Table1[[#This Row],[Column2]]/252</f>
        <v>7.9365079365079361E-3</v>
      </c>
      <c r="R169" s="2">
        <f>IF(Table1[[#This Row],[CHECK2]]=0,NA(),
-(1/Table1[[#This Row],[T]])*LN((Table1[[#This Row],[S0]]-Table1[[#This Row],[C]]+Table1[[#This Row],[P]])/Table1[[#This Row],[K]])
)</f>
        <v>-1.5572265029735162</v>
      </c>
    </row>
    <row r="170" spans="1:18">
      <c r="A170">
        <v>1</v>
      </c>
      <c r="B170" t="s">
        <v>10</v>
      </c>
      <c r="C170" s="1">
        <v>46135</v>
      </c>
      <c r="D170" t="s">
        <v>11</v>
      </c>
      <c r="E170">
        <v>47</v>
      </c>
      <c r="F170" t="s">
        <v>12</v>
      </c>
      <c r="G170" t="s">
        <v>13</v>
      </c>
      <c r="H170" s="1">
        <v>46136</v>
      </c>
      <c r="I170">
        <v>0</v>
      </c>
      <c r="J170">
        <v>0.32500000000000001</v>
      </c>
      <c r="K170">
        <v>0</v>
      </c>
      <c r="L170">
        <v>1275</v>
      </c>
      <c r="M170">
        <v>44.808492367351299</v>
      </c>
      <c r="N170">
        <v>1.9330000000000001</v>
      </c>
      <c r="O170">
        <f>(Table1[[#This Row],[P]]&lt;&gt;0)*(Table1[[#This Row],[C]]&lt;&gt;0)</f>
        <v>0</v>
      </c>
      <c r="P170">
        <f>NETWORKDAYS(Table1[[#This Row],[ts_event]],Table1[[#This Row],[option_expiry_date]])</f>
        <v>2</v>
      </c>
      <c r="Q170">
        <f>Table1[[#This Row],[Column2]]/252</f>
        <v>7.9365079365079361E-3</v>
      </c>
      <c r="R170" s="2" t="e">
        <f>IF(Table1[[#This Row],[CHECK2]]=0,NA(),
-(1/Table1[[#This Row],[T]])*LN((Table1[[#This Row],[S0]]-Table1[[#This Row],[C]]+Table1[[#This Row],[P]])/Table1[[#This Row],[K]])
)</f>
        <v>#N/A</v>
      </c>
    </row>
    <row r="171" spans="1:18">
      <c r="A171">
        <v>1</v>
      </c>
      <c r="B171" t="s">
        <v>10</v>
      </c>
      <c r="C171" s="1">
        <v>46135</v>
      </c>
      <c r="D171" t="s">
        <v>11</v>
      </c>
      <c r="E171">
        <v>48</v>
      </c>
      <c r="F171" t="s">
        <v>12</v>
      </c>
      <c r="G171" t="s">
        <v>13</v>
      </c>
      <c r="H171" s="1">
        <v>46136</v>
      </c>
      <c r="I171">
        <v>0</v>
      </c>
      <c r="J171">
        <v>0.4</v>
      </c>
      <c r="K171">
        <v>0</v>
      </c>
      <c r="L171">
        <v>3000</v>
      </c>
      <c r="M171">
        <v>44.808492367351299</v>
      </c>
      <c r="N171">
        <v>1.9330000000000001</v>
      </c>
      <c r="O171">
        <f>(Table1[[#This Row],[P]]&lt;&gt;0)*(Table1[[#This Row],[C]]&lt;&gt;0)</f>
        <v>0</v>
      </c>
      <c r="P171">
        <f>NETWORKDAYS(Table1[[#This Row],[ts_event]],Table1[[#This Row],[option_expiry_date]])</f>
        <v>2</v>
      </c>
      <c r="Q171">
        <f>Table1[[#This Row],[Column2]]/252</f>
        <v>7.9365079365079361E-3</v>
      </c>
      <c r="R171" s="2" t="e">
        <f>IF(Table1[[#This Row],[CHECK2]]=0,NA(),
-(1/Table1[[#This Row],[T]])*LN((Table1[[#This Row],[S0]]-Table1[[#This Row],[C]]+Table1[[#This Row],[P]])/Table1[[#This Row],[K]])
)</f>
        <v>#N/A</v>
      </c>
    </row>
    <row r="172" spans="1:18">
      <c r="A172">
        <v>1</v>
      </c>
      <c r="B172" t="s">
        <v>10</v>
      </c>
      <c r="C172" s="1">
        <v>46135</v>
      </c>
      <c r="D172" t="s">
        <v>11</v>
      </c>
      <c r="E172">
        <v>49</v>
      </c>
      <c r="F172" t="s">
        <v>12</v>
      </c>
      <c r="G172" t="s">
        <v>13</v>
      </c>
      <c r="H172" s="1">
        <v>46136</v>
      </c>
      <c r="I172">
        <v>0</v>
      </c>
      <c r="J172">
        <v>0.65</v>
      </c>
      <c r="K172">
        <v>0</v>
      </c>
      <c r="L172">
        <v>200</v>
      </c>
      <c r="M172">
        <v>44.808492367351299</v>
      </c>
      <c r="N172">
        <v>1.9330000000000001</v>
      </c>
      <c r="O172">
        <f>(Table1[[#This Row],[P]]&lt;&gt;0)*(Table1[[#This Row],[C]]&lt;&gt;0)</f>
        <v>0</v>
      </c>
      <c r="P172">
        <f>NETWORKDAYS(Table1[[#This Row],[ts_event]],Table1[[#This Row],[option_expiry_date]])</f>
        <v>2</v>
      </c>
      <c r="Q172">
        <f>Table1[[#This Row],[Column2]]/252</f>
        <v>7.9365079365079361E-3</v>
      </c>
      <c r="R172" s="2" t="e">
        <f>IF(Table1[[#This Row],[CHECK2]]=0,NA(),
-(1/Table1[[#This Row],[T]])*LN((Table1[[#This Row],[S0]]-Table1[[#This Row],[C]]+Table1[[#This Row],[P]])/Table1[[#This Row],[K]])
)</f>
        <v>#N/A</v>
      </c>
    </row>
    <row r="173" spans="1:18">
      <c r="A173">
        <v>2</v>
      </c>
      <c r="B173" t="s">
        <v>10</v>
      </c>
      <c r="C173" s="1">
        <v>46135</v>
      </c>
      <c r="D173" t="s">
        <v>11</v>
      </c>
      <c r="E173">
        <v>50</v>
      </c>
      <c r="F173" t="s">
        <v>12</v>
      </c>
      <c r="G173" t="s">
        <v>13</v>
      </c>
      <c r="H173" s="1">
        <v>46136</v>
      </c>
      <c r="I173">
        <v>0</v>
      </c>
      <c r="J173">
        <v>5.5714798850574697E-2</v>
      </c>
      <c r="K173">
        <v>0</v>
      </c>
      <c r="L173">
        <v>6960</v>
      </c>
      <c r="M173">
        <v>44.808492367351299</v>
      </c>
      <c r="N173">
        <v>1.9330000000000001</v>
      </c>
      <c r="O173">
        <f>(Table1[[#This Row],[P]]&lt;&gt;0)*(Table1[[#This Row],[C]]&lt;&gt;0)</f>
        <v>0</v>
      </c>
      <c r="P173">
        <f>NETWORKDAYS(Table1[[#This Row],[ts_event]],Table1[[#This Row],[option_expiry_date]])</f>
        <v>2</v>
      </c>
      <c r="Q173">
        <f>Table1[[#This Row],[Column2]]/252</f>
        <v>7.9365079365079361E-3</v>
      </c>
      <c r="R173" s="2" t="e">
        <f>IF(Table1[[#This Row],[CHECK2]]=0,NA(),
-(1/Table1[[#This Row],[T]])*LN((Table1[[#This Row],[S0]]-Table1[[#This Row],[C]]+Table1[[#This Row],[P]])/Table1[[#This Row],[K]])
)</f>
        <v>#N/A</v>
      </c>
    </row>
    <row r="174" spans="1:18">
      <c r="A174">
        <v>1</v>
      </c>
      <c r="B174" t="s">
        <v>10</v>
      </c>
      <c r="C174" s="1">
        <v>46135</v>
      </c>
      <c r="D174" t="s">
        <v>11</v>
      </c>
      <c r="E174">
        <v>51</v>
      </c>
      <c r="F174" t="s">
        <v>12</v>
      </c>
      <c r="G174" t="s">
        <v>13</v>
      </c>
      <c r="H174" s="1">
        <v>46136</v>
      </c>
      <c r="I174">
        <v>0</v>
      </c>
      <c r="J174">
        <v>0.28000000000000003</v>
      </c>
      <c r="K174">
        <v>0</v>
      </c>
      <c r="L174">
        <v>1000</v>
      </c>
      <c r="M174">
        <v>44.808492367351299</v>
      </c>
      <c r="N174">
        <v>1.9330000000000001</v>
      </c>
      <c r="O174">
        <f>(Table1[[#This Row],[P]]&lt;&gt;0)*(Table1[[#This Row],[C]]&lt;&gt;0)</f>
        <v>0</v>
      </c>
      <c r="P174">
        <f>NETWORKDAYS(Table1[[#This Row],[ts_event]],Table1[[#This Row],[option_expiry_date]])</f>
        <v>2</v>
      </c>
      <c r="Q174">
        <f>Table1[[#This Row],[Column2]]/252</f>
        <v>7.9365079365079361E-3</v>
      </c>
      <c r="R174" s="2" t="e">
        <f>IF(Table1[[#This Row],[CHECK2]]=0,NA(),
-(1/Table1[[#This Row],[T]])*LN((Table1[[#This Row],[S0]]-Table1[[#This Row],[C]]+Table1[[#This Row],[P]])/Table1[[#This Row],[K]])
)</f>
        <v>#N/A</v>
      </c>
    </row>
    <row r="175" spans="1:18">
      <c r="A175">
        <v>1</v>
      </c>
      <c r="B175" t="s">
        <v>10</v>
      </c>
      <c r="C175" s="1">
        <v>46135</v>
      </c>
      <c r="D175" t="s">
        <v>11</v>
      </c>
      <c r="E175">
        <v>54</v>
      </c>
      <c r="F175" t="s">
        <v>12</v>
      </c>
      <c r="G175" t="s">
        <v>13</v>
      </c>
      <c r="H175" s="1">
        <v>46136</v>
      </c>
      <c r="I175">
        <v>0</v>
      </c>
      <c r="J175">
        <v>0.2</v>
      </c>
      <c r="K175">
        <v>0</v>
      </c>
      <c r="L175">
        <v>200</v>
      </c>
      <c r="M175">
        <v>44.808492367351299</v>
      </c>
      <c r="N175">
        <v>1.9330000000000001</v>
      </c>
      <c r="O175">
        <f>(Table1[[#This Row],[P]]&lt;&gt;0)*(Table1[[#This Row],[C]]&lt;&gt;0)</f>
        <v>0</v>
      </c>
      <c r="P175">
        <f>NETWORKDAYS(Table1[[#This Row],[ts_event]],Table1[[#This Row],[option_expiry_date]])</f>
        <v>2</v>
      </c>
      <c r="Q175">
        <f>Table1[[#This Row],[Column2]]/252</f>
        <v>7.9365079365079361E-3</v>
      </c>
      <c r="R175" s="2" t="e">
        <f>IF(Table1[[#This Row],[CHECK2]]=0,NA(),
-(1/Table1[[#This Row],[T]])*LN((Table1[[#This Row],[S0]]-Table1[[#This Row],[C]]+Table1[[#This Row],[P]])/Table1[[#This Row],[K]])
)</f>
        <v>#N/A</v>
      </c>
    </row>
    <row r="176" spans="1:18">
      <c r="A176">
        <v>1</v>
      </c>
      <c r="B176" t="s">
        <v>10</v>
      </c>
      <c r="C176" s="1">
        <v>46135</v>
      </c>
      <c r="D176" t="s">
        <v>11</v>
      </c>
      <c r="E176">
        <v>55</v>
      </c>
      <c r="F176" t="s">
        <v>12</v>
      </c>
      <c r="G176" t="s">
        <v>13</v>
      </c>
      <c r="H176" s="1">
        <v>46136</v>
      </c>
      <c r="I176">
        <v>0</v>
      </c>
      <c r="J176">
        <v>0.06</v>
      </c>
      <c r="K176">
        <v>0</v>
      </c>
      <c r="L176">
        <v>1385</v>
      </c>
      <c r="M176">
        <v>44.808492367351299</v>
      </c>
      <c r="N176">
        <v>1.9330000000000001</v>
      </c>
      <c r="O176">
        <f>(Table1[[#This Row],[P]]&lt;&gt;0)*(Table1[[#This Row],[C]]&lt;&gt;0)</f>
        <v>0</v>
      </c>
      <c r="P176">
        <f>NETWORKDAYS(Table1[[#This Row],[ts_event]],Table1[[#This Row],[option_expiry_date]])</f>
        <v>2</v>
      </c>
      <c r="Q176">
        <f>Table1[[#This Row],[Column2]]/252</f>
        <v>7.9365079365079361E-3</v>
      </c>
      <c r="R176" s="2" t="e">
        <f>IF(Table1[[#This Row],[CHECK2]]=0,NA(),
-(1/Table1[[#This Row],[T]])*LN((Table1[[#This Row],[S0]]-Table1[[#This Row],[C]]+Table1[[#This Row],[P]])/Table1[[#This Row],[K]])
)</f>
        <v>#N/A</v>
      </c>
    </row>
    <row r="177" spans="1:18">
      <c r="A177">
        <v>1</v>
      </c>
      <c r="B177" t="s">
        <v>10</v>
      </c>
      <c r="C177" s="1">
        <v>46135</v>
      </c>
      <c r="D177" t="s">
        <v>11</v>
      </c>
      <c r="E177">
        <v>60</v>
      </c>
      <c r="F177" t="s">
        <v>12</v>
      </c>
      <c r="G177" t="s">
        <v>13</v>
      </c>
      <c r="H177" s="1">
        <v>46136</v>
      </c>
      <c r="I177">
        <v>0</v>
      </c>
      <c r="J177">
        <v>0.04</v>
      </c>
      <c r="K177">
        <v>0</v>
      </c>
      <c r="L177">
        <v>250</v>
      </c>
      <c r="M177">
        <v>44.808492367351299</v>
      </c>
      <c r="N177">
        <v>1.9330000000000001</v>
      </c>
      <c r="O177">
        <f>(Table1[[#This Row],[P]]&lt;&gt;0)*(Table1[[#This Row],[C]]&lt;&gt;0)</f>
        <v>0</v>
      </c>
      <c r="P177">
        <f>NETWORKDAYS(Table1[[#This Row],[ts_event]],Table1[[#This Row],[option_expiry_date]])</f>
        <v>2</v>
      </c>
      <c r="Q177">
        <f>Table1[[#This Row],[Column2]]/252</f>
        <v>7.9365079365079361E-3</v>
      </c>
      <c r="R177" s="2" t="e">
        <f>IF(Table1[[#This Row],[CHECK2]]=0,NA(),
-(1/Table1[[#This Row],[T]])*LN((Table1[[#This Row],[S0]]-Table1[[#This Row],[C]]+Table1[[#This Row],[P]])/Table1[[#This Row],[K]])
)</f>
        <v>#N/A</v>
      </c>
    </row>
    <row r="178" spans="1:18">
      <c r="A178">
        <v>1</v>
      </c>
      <c r="B178" t="s">
        <v>10</v>
      </c>
      <c r="C178" s="1">
        <v>46135</v>
      </c>
      <c r="D178" t="s">
        <v>11</v>
      </c>
      <c r="E178">
        <v>65</v>
      </c>
      <c r="F178" t="s">
        <v>12</v>
      </c>
      <c r="G178" t="s">
        <v>13</v>
      </c>
      <c r="H178" s="1">
        <v>46136</v>
      </c>
      <c r="I178">
        <v>0</v>
      </c>
      <c r="J178">
        <v>0.02</v>
      </c>
      <c r="K178">
        <v>0</v>
      </c>
      <c r="L178">
        <v>100</v>
      </c>
      <c r="M178">
        <v>44.808492367351299</v>
      </c>
      <c r="N178">
        <v>1.9330000000000001</v>
      </c>
      <c r="O178">
        <f>(Table1[[#This Row],[P]]&lt;&gt;0)*(Table1[[#This Row],[C]]&lt;&gt;0)</f>
        <v>0</v>
      </c>
      <c r="P178">
        <f>NETWORKDAYS(Table1[[#This Row],[ts_event]],Table1[[#This Row],[option_expiry_date]])</f>
        <v>2</v>
      </c>
      <c r="Q178">
        <f>Table1[[#This Row],[Column2]]/252</f>
        <v>7.9365079365079361E-3</v>
      </c>
      <c r="R178" s="2" t="e">
        <f>IF(Table1[[#This Row],[CHECK2]]=0,NA(),
-(1/Table1[[#This Row],[T]])*LN((Table1[[#This Row],[S0]]-Table1[[#This Row],[C]]+Table1[[#This Row],[P]])/Table1[[#This Row],[K]])
)</f>
        <v>#N/A</v>
      </c>
    </row>
    <row r="179" spans="1:18">
      <c r="A179">
        <v>1</v>
      </c>
      <c r="B179" t="s">
        <v>10</v>
      </c>
      <c r="C179" s="1">
        <v>46135</v>
      </c>
      <c r="D179" t="s">
        <v>14</v>
      </c>
      <c r="E179">
        <v>28</v>
      </c>
      <c r="F179" t="s">
        <v>12</v>
      </c>
      <c r="G179" t="s">
        <v>13</v>
      </c>
      <c r="H179" s="1">
        <v>46169</v>
      </c>
      <c r="I179">
        <v>0.14000000000000001</v>
      </c>
      <c r="J179">
        <v>0</v>
      </c>
      <c r="K179">
        <v>100</v>
      </c>
      <c r="L179">
        <v>0</v>
      </c>
      <c r="M179">
        <v>44.803513641017403</v>
      </c>
      <c r="N179">
        <v>1.9330000000000001</v>
      </c>
      <c r="O179">
        <f>(Table1[[#This Row],[P]]&lt;&gt;0)*(Table1[[#This Row],[C]]&lt;&gt;0)</f>
        <v>0</v>
      </c>
      <c r="P179">
        <f>NETWORKDAYS(Table1[[#This Row],[ts_event]],Table1[[#This Row],[option_expiry_date]])</f>
        <v>25</v>
      </c>
      <c r="Q179">
        <f>Table1[[#This Row],[Column2]]/252</f>
        <v>9.9206349206349201E-2</v>
      </c>
      <c r="R179" s="2" t="e">
        <f>IF(Table1[[#This Row],[CHECK2]]=0,NA(),
-(1/Table1[[#This Row],[T]])*LN((Table1[[#This Row],[S0]]-Table1[[#This Row],[C]]+Table1[[#This Row],[P]])/Table1[[#This Row],[K]])
)</f>
        <v>#N/A</v>
      </c>
    </row>
    <row r="180" spans="1:18">
      <c r="A180">
        <v>1</v>
      </c>
      <c r="B180" t="s">
        <v>10</v>
      </c>
      <c r="C180" s="1">
        <v>46135</v>
      </c>
      <c r="D180" t="s">
        <v>14</v>
      </c>
      <c r="E180">
        <v>30</v>
      </c>
      <c r="F180" t="s">
        <v>12</v>
      </c>
      <c r="G180" t="s">
        <v>13</v>
      </c>
      <c r="H180" s="1">
        <v>46169</v>
      </c>
      <c r="I180">
        <v>0.26</v>
      </c>
      <c r="J180">
        <v>0</v>
      </c>
      <c r="K180">
        <v>600</v>
      </c>
      <c r="L180">
        <v>0</v>
      </c>
      <c r="M180">
        <v>44.803513641017403</v>
      </c>
      <c r="N180">
        <v>1.9330000000000001</v>
      </c>
      <c r="O180">
        <f>(Table1[[#This Row],[P]]&lt;&gt;0)*(Table1[[#This Row],[C]]&lt;&gt;0)</f>
        <v>0</v>
      </c>
      <c r="P180">
        <f>NETWORKDAYS(Table1[[#This Row],[ts_event]],Table1[[#This Row],[option_expiry_date]])</f>
        <v>25</v>
      </c>
      <c r="Q180">
        <f>Table1[[#This Row],[Column2]]/252</f>
        <v>9.9206349206349201E-2</v>
      </c>
      <c r="R180" s="2" t="e">
        <f>IF(Table1[[#This Row],[CHECK2]]=0,NA(),
-(1/Table1[[#This Row],[T]])*LN((Table1[[#This Row],[S0]]-Table1[[#This Row],[C]]+Table1[[#This Row],[P]])/Table1[[#This Row],[K]])
)</f>
        <v>#N/A</v>
      </c>
    </row>
    <row r="181" spans="1:18">
      <c r="A181">
        <v>1</v>
      </c>
      <c r="B181" t="s">
        <v>10</v>
      </c>
      <c r="C181" s="1">
        <v>46135</v>
      </c>
      <c r="D181" t="s">
        <v>14</v>
      </c>
      <c r="E181">
        <v>33</v>
      </c>
      <c r="F181" t="s">
        <v>12</v>
      </c>
      <c r="G181" t="s">
        <v>13</v>
      </c>
      <c r="H181" s="1">
        <v>46169</v>
      </c>
      <c r="I181">
        <v>0.47499999999999998</v>
      </c>
      <c r="J181">
        <v>0</v>
      </c>
      <c r="K181">
        <v>200</v>
      </c>
      <c r="L181">
        <v>0</v>
      </c>
      <c r="M181">
        <v>44.803513641017403</v>
      </c>
      <c r="N181">
        <v>1.9330000000000001</v>
      </c>
      <c r="O181">
        <f>(Table1[[#This Row],[P]]&lt;&gt;0)*(Table1[[#This Row],[C]]&lt;&gt;0)</f>
        <v>0</v>
      </c>
      <c r="P181">
        <f>NETWORKDAYS(Table1[[#This Row],[ts_event]],Table1[[#This Row],[option_expiry_date]])</f>
        <v>25</v>
      </c>
      <c r="Q181">
        <f>Table1[[#This Row],[Column2]]/252</f>
        <v>9.9206349206349201E-2</v>
      </c>
      <c r="R181" s="2" t="e">
        <f>IF(Table1[[#This Row],[CHECK2]]=0,NA(),
-(1/Table1[[#This Row],[T]])*LN((Table1[[#This Row],[S0]]-Table1[[#This Row],[C]]+Table1[[#This Row],[P]])/Table1[[#This Row],[K]])
)</f>
        <v>#N/A</v>
      </c>
    </row>
    <row r="182" spans="1:18">
      <c r="A182">
        <v>1</v>
      </c>
      <c r="B182" t="s">
        <v>10</v>
      </c>
      <c r="C182" s="1">
        <v>46135</v>
      </c>
      <c r="D182" t="s">
        <v>14</v>
      </c>
      <c r="E182">
        <v>34</v>
      </c>
      <c r="F182" t="s">
        <v>12</v>
      </c>
      <c r="G182" t="s">
        <v>13</v>
      </c>
      <c r="H182" s="1">
        <v>46169</v>
      </c>
      <c r="I182">
        <v>0.63</v>
      </c>
      <c r="J182">
        <v>0</v>
      </c>
      <c r="K182">
        <v>1700</v>
      </c>
      <c r="L182">
        <v>0</v>
      </c>
      <c r="M182">
        <v>44.803513641017403</v>
      </c>
      <c r="N182">
        <v>1.9330000000000001</v>
      </c>
      <c r="O182">
        <f>(Table1[[#This Row],[P]]&lt;&gt;0)*(Table1[[#This Row],[C]]&lt;&gt;0)</f>
        <v>0</v>
      </c>
      <c r="P182">
        <f>NETWORKDAYS(Table1[[#This Row],[ts_event]],Table1[[#This Row],[option_expiry_date]])</f>
        <v>25</v>
      </c>
      <c r="Q182">
        <f>Table1[[#This Row],[Column2]]/252</f>
        <v>9.9206349206349201E-2</v>
      </c>
      <c r="R182" s="2" t="e">
        <f>IF(Table1[[#This Row],[CHECK2]]=0,NA(),
-(1/Table1[[#This Row],[T]])*LN((Table1[[#This Row],[S0]]-Table1[[#This Row],[C]]+Table1[[#This Row],[P]])/Table1[[#This Row],[K]])
)</f>
        <v>#N/A</v>
      </c>
    </row>
    <row r="183" spans="1:18">
      <c r="A183">
        <v>1</v>
      </c>
      <c r="B183" t="s">
        <v>10</v>
      </c>
      <c r="C183" s="1">
        <v>46135</v>
      </c>
      <c r="D183" t="s">
        <v>14</v>
      </c>
      <c r="E183">
        <v>34.5</v>
      </c>
      <c r="F183" t="s">
        <v>12</v>
      </c>
      <c r="G183" t="s">
        <v>13</v>
      </c>
      <c r="H183" s="1">
        <v>46169</v>
      </c>
      <c r="I183">
        <v>0.53</v>
      </c>
      <c r="J183">
        <v>0</v>
      </c>
      <c r="K183">
        <v>50</v>
      </c>
      <c r="L183">
        <v>0</v>
      </c>
      <c r="M183">
        <v>44.803513641017403</v>
      </c>
      <c r="N183">
        <v>1.9330000000000001</v>
      </c>
      <c r="O183">
        <f>(Table1[[#This Row],[P]]&lt;&gt;0)*(Table1[[#This Row],[C]]&lt;&gt;0)</f>
        <v>0</v>
      </c>
      <c r="P183">
        <f>NETWORKDAYS(Table1[[#This Row],[ts_event]],Table1[[#This Row],[option_expiry_date]])</f>
        <v>25</v>
      </c>
      <c r="Q183">
        <f>Table1[[#This Row],[Column2]]/252</f>
        <v>9.9206349206349201E-2</v>
      </c>
      <c r="R183" s="2" t="e">
        <f>IF(Table1[[#This Row],[CHECK2]]=0,NA(),
-(1/Table1[[#This Row],[T]])*LN((Table1[[#This Row],[S0]]-Table1[[#This Row],[C]]+Table1[[#This Row],[P]])/Table1[[#This Row],[K]])
)</f>
        <v>#N/A</v>
      </c>
    </row>
    <row r="184" spans="1:18">
      <c r="A184">
        <v>1</v>
      </c>
      <c r="B184" t="s">
        <v>10</v>
      </c>
      <c r="C184" s="1">
        <v>46135</v>
      </c>
      <c r="D184" t="s">
        <v>14</v>
      </c>
      <c r="E184">
        <v>35</v>
      </c>
      <c r="F184" t="s">
        <v>12</v>
      </c>
      <c r="G184" t="s">
        <v>13</v>
      </c>
      <c r="H184" s="1">
        <v>46169</v>
      </c>
      <c r="I184">
        <v>0.76</v>
      </c>
      <c r="J184">
        <v>0</v>
      </c>
      <c r="K184">
        <v>150</v>
      </c>
      <c r="L184">
        <v>0</v>
      </c>
      <c r="M184">
        <v>44.803513641017403</v>
      </c>
      <c r="N184">
        <v>1.9330000000000001</v>
      </c>
      <c r="O184">
        <f>(Table1[[#This Row],[P]]&lt;&gt;0)*(Table1[[#This Row],[C]]&lt;&gt;0)</f>
        <v>0</v>
      </c>
      <c r="P184">
        <f>NETWORKDAYS(Table1[[#This Row],[ts_event]],Table1[[#This Row],[option_expiry_date]])</f>
        <v>25</v>
      </c>
      <c r="Q184">
        <f>Table1[[#This Row],[Column2]]/252</f>
        <v>9.9206349206349201E-2</v>
      </c>
      <c r="R184" s="2" t="e">
        <f>IF(Table1[[#This Row],[CHECK2]]=0,NA(),
-(1/Table1[[#This Row],[T]])*LN((Table1[[#This Row],[S0]]-Table1[[#This Row],[C]]+Table1[[#This Row],[P]])/Table1[[#This Row],[K]])
)</f>
        <v>#N/A</v>
      </c>
    </row>
    <row r="185" spans="1:18">
      <c r="A185">
        <v>1</v>
      </c>
      <c r="B185" t="s">
        <v>10</v>
      </c>
      <c r="C185" s="1">
        <v>46135</v>
      </c>
      <c r="D185" t="s">
        <v>14</v>
      </c>
      <c r="E185">
        <v>37</v>
      </c>
      <c r="F185" t="s">
        <v>12</v>
      </c>
      <c r="G185" t="s">
        <v>13</v>
      </c>
      <c r="H185" s="1">
        <v>46169</v>
      </c>
      <c r="I185">
        <v>1.26</v>
      </c>
      <c r="J185">
        <v>0</v>
      </c>
      <c r="K185">
        <v>1050</v>
      </c>
      <c r="L185">
        <v>0</v>
      </c>
      <c r="M185">
        <v>44.803513641017403</v>
      </c>
      <c r="N185">
        <v>1.9330000000000001</v>
      </c>
      <c r="O185">
        <f>(Table1[[#This Row],[P]]&lt;&gt;0)*(Table1[[#This Row],[C]]&lt;&gt;0)</f>
        <v>0</v>
      </c>
      <c r="P185">
        <f>NETWORKDAYS(Table1[[#This Row],[ts_event]],Table1[[#This Row],[option_expiry_date]])</f>
        <v>25</v>
      </c>
      <c r="Q185">
        <f>Table1[[#This Row],[Column2]]/252</f>
        <v>9.9206349206349201E-2</v>
      </c>
      <c r="R185" s="2" t="e">
        <f>IF(Table1[[#This Row],[CHECK2]]=0,NA(),
-(1/Table1[[#This Row],[T]])*LN((Table1[[#This Row],[S0]]-Table1[[#This Row],[C]]+Table1[[#This Row],[P]])/Table1[[#This Row],[K]])
)</f>
        <v>#N/A</v>
      </c>
    </row>
    <row r="186" spans="1:18">
      <c r="A186">
        <v>1</v>
      </c>
      <c r="B186" t="s">
        <v>10</v>
      </c>
      <c r="C186" s="1">
        <v>46135</v>
      </c>
      <c r="D186" t="s">
        <v>14</v>
      </c>
      <c r="E186">
        <v>39</v>
      </c>
      <c r="F186" t="s">
        <v>12</v>
      </c>
      <c r="G186" t="s">
        <v>13</v>
      </c>
      <c r="H186" s="1">
        <v>46169</v>
      </c>
      <c r="I186">
        <v>1.95</v>
      </c>
      <c r="J186">
        <v>0</v>
      </c>
      <c r="K186">
        <v>2000</v>
      </c>
      <c r="L186">
        <v>0</v>
      </c>
      <c r="M186">
        <v>44.803513641017403</v>
      </c>
      <c r="N186">
        <v>1.9330000000000001</v>
      </c>
      <c r="O186">
        <f>(Table1[[#This Row],[P]]&lt;&gt;0)*(Table1[[#This Row],[C]]&lt;&gt;0)</f>
        <v>0</v>
      </c>
      <c r="P186">
        <f>NETWORKDAYS(Table1[[#This Row],[ts_event]],Table1[[#This Row],[option_expiry_date]])</f>
        <v>25</v>
      </c>
      <c r="Q186">
        <f>Table1[[#This Row],[Column2]]/252</f>
        <v>9.9206349206349201E-2</v>
      </c>
      <c r="R186" s="2" t="e">
        <f>IF(Table1[[#This Row],[CHECK2]]=0,NA(),
-(1/Table1[[#This Row],[T]])*LN((Table1[[#This Row],[S0]]-Table1[[#This Row],[C]]+Table1[[#This Row],[P]])/Table1[[#This Row],[K]])
)</f>
        <v>#N/A</v>
      </c>
    </row>
    <row r="187" spans="1:18">
      <c r="A187">
        <v>3</v>
      </c>
      <c r="B187" t="s">
        <v>10</v>
      </c>
      <c r="C187" s="1">
        <v>46135</v>
      </c>
      <c r="D187" t="s">
        <v>14</v>
      </c>
      <c r="E187">
        <v>40</v>
      </c>
      <c r="F187" t="s">
        <v>12</v>
      </c>
      <c r="G187" t="s">
        <v>13</v>
      </c>
      <c r="H187" s="1">
        <v>46169</v>
      </c>
      <c r="I187">
        <v>2.36037037037037</v>
      </c>
      <c r="J187">
        <v>6.7249999999999996</v>
      </c>
      <c r="K187">
        <v>675</v>
      </c>
      <c r="L187">
        <v>300</v>
      </c>
      <c r="M187">
        <v>44.803513641017403</v>
      </c>
      <c r="N187">
        <v>1.9330000000000001</v>
      </c>
      <c r="O187">
        <f>(Table1[[#This Row],[P]]&lt;&gt;0)*(Table1[[#This Row],[C]]&lt;&gt;0)</f>
        <v>1</v>
      </c>
      <c r="P187">
        <f>NETWORKDAYS(Table1[[#This Row],[ts_event]],Table1[[#This Row],[option_expiry_date]])</f>
        <v>25</v>
      </c>
      <c r="Q187">
        <f>Table1[[#This Row],[Column2]]/252</f>
        <v>9.9206349206349201E-2</v>
      </c>
      <c r="R187" s="2">
        <f>IF(Table1[[#This Row],[CHECK2]]=0,NA(),
-(1/Table1[[#This Row],[T]])*LN((Table1[[#This Row],[S0]]-Table1[[#This Row],[C]]+Table1[[#This Row],[P]])/Table1[[#This Row],[K]])
)</f>
        <v>-0.10999642247980854</v>
      </c>
    </row>
    <row r="188" spans="1:18">
      <c r="A188">
        <v>2</v>
      </c>
      <c r="B188" t="s">
        <v>10</v>
      </c>
      <c r="C188" s="1">
        <v>46135</v>
      </c>
      <c r="D188" t="s">
        <v>14</v>
      </c>
      <c r="E188">
        <v>44</v>
      </c>
      <c r="F188" t="s">
        <v>12</v>
      </c>
      <c r="G188" t="s">
        <v>13</v>
      </c>
      <c r="H188" s="1">
        <v>46169</v>
      </c>
      <c r="I188">
        <v>4.5</v>
      </c>
      <c r="J188">
        <v>4.9400000000000004</v>
      </c>
      <c r="K188">
        <v>1000</v>
      </c>
      <c r="L188">
        <v>50</v>
      </c>
      <c r="M188">
        <v>44.803513641017403</v>
      </c>
      <c r="N188">
        <v>1.9330000000000001</v>
      </c>
      <c r="O188">
        <f>(Table1[[#This Row],[P]]&lt;&gt;0)*(Table1[[#This Row],[C]]&lt;&gt;0)</f>
        <v>1</v>
      </c>
      <c r="P188">
        <f>NETWORKDAYS(Table1[[#This Row],[ts_event]],Table1[[#This Row],[option_expiry_date]])</f>
        <v>25</v>
      </c>
      <c r="Q188">
        <f>Table1[[#This Row],[Column2]]/252</f>
        <v>9.9206349206349201E-2</v>
      </c>
      <c r="R188" s="2">
        <f>IF(Table1[[#This Row],[CHECK2]]=0,NA(),
-(1/Table1[[#This Row],[T]])*LN((Table1[[#This Row],[S0]]-Table1[[#This Row],[C]]+Table1[[#This Row],[P]])/Table1[[#This Row],[K]])
)</f>
        <v>-8.2935547069003773E-2</v>
      </c>
    </row>
    <row r="189" spans="1:18">
      <c r="A189">
        <v>2</v>
      </c>
      <c r="B189" t="s">
        <v>10</v>
      </c>
      <c r="C189" s="1">
        <v>46135</v>
      </c>
      <c r="D189" t="s">
        <v>14</v>
      </c>
      <c r="E189">
        <v>45</v>
      </c>
      <c r="F189" t="s">
        <v>12</v>
      </c>
      <c r="G189" t="s">
        <v>13</v>
      </c>
      <c r="H189" s="1">
        <v>46169</v>
      </c>
      <c r="I189">
        <v>4.7249999999999996</v>
      </c>
      <c r="J189">
        <v>4.5</v>
      </c>
      <c r="K189">
        <v>800</v>
      </c>
      <c r="L189">
        <v>2925</v>
      </c>
      <c r="M189">
        <v>44.803513641017403</v>
      </c>
      <c r="N189">
        <v>1.9330000000000001</v>
      </c>
      <c r="O189">
        <f>(Table1[[#This Row],[P]]&lt;&gt;0)*(Table1[[#This Row],[C]]&lt;&gt;0)</f>
        <v>1</v>
      </c>
      <c r="P189">
        <f>NETWORKDAYS(Table1[[#This Row],[ts_event]],Table1[[#This Row],[option_expiry_date]])</f>
        <v>25</v>
      </c>
      <c r="Q189">
        <f>Table1[[#This Row],[Column2]]/252</f>
        <v>9.9206349206349201E-2</v>
      </c>
      <c r="R189" s="2">
        <f>IF(Table1[[#This Row],[CHECK2]]=0,NA(),
-(1/Table1[[#This Row],[T]])*LN((Table1[[#This Row],[S0]]-Table1[[#This Row],[C]]+Table1[[#This Row],[P]])/Table1[[#This Row],[K]])
)</f>
        <v>-6.3850329066140136E-3</v>
      </c>
    </row>
    <row r="190" spans="1:18">
      <c r="A190">
        <v>2</v>
      </c>
      <c r="B190" t="s">
        <v>10</v>
      </c>
      <c r="C190" s="1">
        <v>46135</v>
      </c>
      <c r="D190" t="s">
        <v>14</v>
      </c>
      <c r="E190">
        <v>48</v>
      </c>
      <c r="F190" t="s">
        <v>12</v>
      </c>
      <c r="G190" t="s">
        <v>13</v>
      </c>
      <c r="H190" s="1">
        <v>46169</v>
      </c>
      <c r="I190">
        <v>0</v>
      </c>
      <c r="J190">
        <v>3.7879999999999998</v>
      </c>
      <c r="K190">
        <v>0</v>
      </c>
      <c r="L190">
        <v>125</v>
      </c>
      <c r="M190">
        <v>44.803513641017403</v>
      </c>
      <c r="N190">
        <v>1.9330000000000001</v>
      </c>
      <c r="O190">
        <f>(Table1[[#This Row],[P]]&lt;&gt;0)*(Table1[[#This Row],[C]]&lt;&gt;0)</f>
        <v>0</v>
      </c>
      <c r="P190">
        <f>NETWORKDAYS(Table1[[#This Row],[ts_event]],Table1[[#This Row],[option_expiry_date]])</f>
        <v>25</v>
      </c>
      <c r="Q190">
        <f>Table1[[#This Row],[Column2]]/252</f>
        <v>9.9206349206349201E-2</v>
      </c>
      <c r="R190" s="2" t="e">
        <f>IF(Table1[[#This Row],[CHECK2]]=0,NA(),
-(1/Table1[[#This Row],[T]])*LN((Table1[[#This Row],[S0]]-Table1[[#This Row],[C]]+Table1[[#This Row],[P]])/Table1[[#This Row],[K]])
)</f>
        <v>#N/A</v>
      </c>
    </row>
    <row r="191" spans="1:18">
      <c r="A191">
        <v>2</v>
      </c>
      <c r="B191" t="s">
        <v>10</v>
      </c>
      <c r="C191" s="1">
        <v>46135</v>
      </c>
      <c r="D191" t="s">
        <v>14</v>
      </c>
      <c r="E191">
        <v>50</v>
      </c>
      <c r="F191" t="s">
        <v>12</v>
      </c>
      <c r="G191" t="s">
        <v>13</v>
      </c>
      <c r="H191" s="1">
        <v>46169</v>
      </c>
      <c r="I191">
        <v>0</v>
      </c>
      <c r="J191">
        <v>3.1863247863247799</v>
      </c>
      <c r="K191">
        <v>0</v>
      </c>
      <c r="L191">
        <v>1755</v>
      </c>
      <c r="M191">
        <v>44.803513641017403</v>
      </c>
      <c r="N191">
        <v>1.9330000000000001</v>
      </c>
      <c r="O191">
        <f>(Table1[[#This Row],[P]]&lt;&gt;0)*(Table1[[#This Row],[C]]&lt;&gt;0)</f>
        <v>0</v>
      </c>
      <c r="P191">
        <f>NETWORKDAYS(Table1[[#This Row],[ts_event]],Table1[[#This Row],[option_expiry_date]])</f>
        <v>25</v>
      </c>
      <c r="Q191">
        <f>Table1[[#This Row],[Column2]]/252</f>
        <v>9.9206349206349201E-2</v>
      </c>
      <c r="R191" s="2" t="e">
        <f>IF(Table1[[#This Row],[CHECK2]]=0,NA(),
-(1/Table1[[#This Row],[T]])*LN((Table1[[#This Row],[S0]]-Table1[[#This Row],[C]]+Table1[[#This Row],[P]])/Table1[[#This Row],[K]])
)</f>
        <v>#N/A</v>
      </c>
    </row>
    <row r="192" spans="1:18">
      <c r="A192">
        <v>2</v>
      </c>
      <c r="B192" t="s">
        <v>10</v>
      </c>
      <c r="C192" s="1">
        <v>46135</v>
      </c>
      <c r="D192" t="s">
        <v>14</v>
      </c>
      <c r="E192">
        <v>55</v>
      </c>
      <c r="F192" t="s">
        <v>12</v>
      </c>
      <c r="G192" t="s">
        <v>13</v>
      </c>
      <c r="H192" s="1">
        <v>46169</v>
      </c>
      <c r="I192">
        <v>0</v>
      </c>
      <c r="J192">
        <v>2.4375</v>
      </c>
      <c r="K192">
        <v>0</v>
      </c>
      <c r="L192">
        <v>300</v>
      </c>
      <c r="M192">
        <v>44.803513641017403</v>
      </c>
      <c r="N192">
        <v>1.9330000000000001</v>
      </c>
      <c r="O192">
        <f>(Table1[[#This Row],[P]]&lt;&gt;0)*(Table1[[#This Row],[C]]&lt;&gt;0)</f>
        <v>0</v>
      </c>
      <c r="P192">
        <f>NETWORKDAYS(Table1[[#This Row],[ts_event]],Table1[[#This Row],[option_expiry_date]])</f>
        <v>25</v>
      </c>
      <c r="Q192">
        <f>Table1[[#This Row],[Column2]]/252</f>
        <v>9.9206349206349201E-2</v>
      </c>
      <c r="R192" s="2" t="e">
        <f>IF(Table1[[#This Row],[CHECK2]]=0,NA(),
-(1/Table1[[#This Row],[T]])*LN((Table1[[#This Row],[S0]]-Table1[[#This Row],[C]]+Table1[[#This Row],[P]])/Table1[[#This Row],[K]])
)</f>
        <v>#N/A</v>
      </c>
    </row>
    <row r="193" spans="1:18">
      <c r="A193">
        <v>1</v>
      </c>
      <c r="B193" t="s">
        <v>10</v>
      </c>
      <c r="C193" s="1">
        <v>46135</v>
      </c>
      <c r="D193" t="s">
        <v>14</v>
      </c>
      <c r="E193">
        <v>60</v>
      </c>
      <c r="F193" t="s">
        <v>12</v>
      </c>
      <c r="G193" t="s">
        <v>13</v>
      </c>
      <c r="H193" s="1">
        <v>46169</v>
      </c>
      <c r="I193">
        <v>0</v>
      </c>
      <c r="J193">
        <v>1.625</v>
      </c>
      <c r="K193">
        <v>0</v>
      </c>
      <c r="L193">
        <v>400</v>
      </c>
      <c r="M193">
        <v>44.803513641017403</v>
      </c>
      <c r="N193">
        <v>1.9330000000000001</v>
      </c>
      <c r="O193">
        <f>(Table1[[#This Row],[P]]&lt;&gt;0)*(Table1[[#This Row],[C]]&lt;&gt;0)</f>
        <v>0</v>
      </c>
      <c r="P193">
        <f>NETWORKDAYS(Table1[[#This Row],[ts_event]],Table1[[#This Row],[option_expiry_date]])</f>
        <v>25</v>
      </c>
      <c r="Q193">
        <f>Table1[[#This Row],[Column2]]/252</f>
        <v>9.9206349206349201E-2</v>
      </c>
      <c r="R193" s="2" t="e">
        <f>IF(Table1[[#This Row],[CHECK2]]=0,NA(),
-(1/Table1[[#This Row],[T]])*LN((Table1[[#This Row],[S0]]-Table1[[#This Row],[C]]+Table1[[#This Row],[P]])/Table1[[#This Row],[K]])
)</f>
        <v>#N/A</v>
      </c>
    </row>
    <row r="194" spans="1:18">
      <c r="A194">
        <v>1</v>
      </c>
      <c r="B194" t="s">
        <v>10</v>
      </c>
      <c r="C194" s="1">
        <v>46135</v>
      </c>
      <c r="D194" t="s">
        <v>14</v>
      </c>
      <c r="E194">
        <v>65</v>
      </c>
      <c r="F194" t="s">
        <v>12</v>
      </c>
      <c r="G194" t="s">
        <v>13</v>
      </c>
      <c r="H194" s="1">
        <v>46169</v>
      </c>
      <c r="I194">
        <v>0</v>
      </c>
      <c r="J194">
        <v>1.55</v>
      </c>
      <c r="K194">
        <v>0</v>
      </c>
      <c r="L194">
        <v>200</v>
      </c>
      <c r="M194">
        <v>44.803513641017403</v>
      </c>
      <c r="N194">
        <v>1.9330000000000001</v>
      </c>
      <c r="O194">
        <f>(Table1[[#This Row],[P]]&lt;&gt;0)*(Table1[[#This Row],[C]]&lt;&gt;0)</f>
        <v>0</v>
      </c>
      <c r="P194">
        <f>NETWORKDAYS(Table1[[#This Row],[ts_event]],Table1[[#This Row],[option_expiry_date]])</f>
        <v>25</v>
      </c>
      <c r="Q194">
        <f>Table1[[#This Row],[Column2]]/252</f>
        <v>9.9206349206349201E-2</v>
      </c>
      <c r="R194" s="2" t="e">
        <f>IF(Table1[[#This Row],[CHECK2]]=0,NA(),
-(1/Table1[[#This Row],[T]])*LN((Table1[[#This Row],[S0]]-Table1[[#This Row],[C]]+Table1[[#This Row],[P]])/Table1[[#This Row],[K]])
)</f>
        <v>#N/A</v>
      </c>
    </row>
    <row r="195" spans="1:18">
      <c r="A195">
        <v>1</v>
      </c>
      <c r="B195" t="s">
        <v>10</v>
      </c>
      <c r="C195" s="1">
        <v>46135</v>
      </c>
      <c r="D195" t="s">
        <v>14</v>
      </c>
      <c r="E195">
        <v>70</v>
      </c>
      <c r="F195" t="s">
        <v>12</v>
      </c>
      <c r="G195" t="s">
        <v>13</v>
      </c>
      <c r="H195" s="1">
        <v>46169</v>
      </c>
      <c r="I195">
        <v>0</v>
      </c>
      <c r="J195">
        <v>0.92500000000000004</v>
      </c>
      <c r="K195">
        <v>0</v>
      </c>
      <c r="L195">
        <v>400</v>
      </c>
      <c r="M195">
        <v>44.803513641017403</v>
      </c>
      <c r="N195">
        <v>1.9330000000000001</v>
      </c>
      <c r="O195">
        <f>(Table1[[#This Row],[P]]&lt;&gt;0)*(Table1[[#This Row],[C]]&lt;&gt;0)</f>
        <v>0</v>
      </c>
      <c r="P195">
        <f>NETWORKDAYS(Table1[[#This Row],[ts_event]],Table1[[#This Row],[option_expiry_date]])</f>
        <v>25</v>
      </c>
      <c r="Q195">
        <f>Table1[[#This Row],[Column2]]/252</f>
        <v>9.9206349206349201E-2</v>
      </c>
      <c r="R195" s="2" t="e">
        <f>IF(Table1[[#This Row],[CHECK2]]=0,NA(),
-(1/Table1[[#This Row],[T]])*LN((Table1[[#This Row],[S0]]-Table1[[#This Row],[C]]+Table1[[#This Row],[P]])/Table1[[#This Row],[K]])
)</f>
        <v>#N/A</v>
      </c>
    </row>
    <row r="196" spans="1:18">
      <c r="A196">
        <v>1</v>
      </c>
      <c r="B196" t="s">
        <v>10</v>
      </c>
      <c r="C196" s="1">
        <v>46135</v>
      </c>
      <c r="D196" t="s">
        <v>14</v>
      </c>
      <c r="E196">
        <v>80</v>
      </c>
      <c r="F196" t="s">
        <v>12</v>
      </c>
      <c r="G196" t="s">
        <v>13</v>
      </c>
      <c r="H196" s="1">
        <v>46169</v>
      </c>
      <c r="I196">
        <v>0</v>
      </c>
      <c r="J196">
        <v>0.625</v>
      </c>
      <c r="K196">
        <v>0</v>
      </c>
      <c r="L196">
        <v>500</v>
      </c>
      <c r="M196">
        <v>44.803513641017403</v>
      </c>
      <c r="N196">
        <v>1.9330000000000001</v>
      </c>
      <c r="O196">
        <f>(Table1[[#This Row],[P]]&lt;&gt;0)*(Table1[[#This Row],[C]]&lt;&gt;0)</f>
        <v>0</v>
      </c>
      <c r="P196">
        <f>NETWORKDAYS(Table1[[#This Row],[ts_event]],Table1[[#This Row],[option_expiry_date]])</f>
        <v>25</v>
      </c>
      <c r="Q196">
        <f>Table1[[#This Row],[Column2]]/252</f>
        <v>9.9206349206349201E-2</v>
      </c>
      <c r="R196" s="2" t="e">
        <f>IF(Table1[[#This Row],[CHECK2]]=0,NA(),
-(1/Table1[[#This Row],[T]])*LN((Table1[[#This Row],[S0]]-Table1[[#This Row],[C]]+Table1[[#This Row],[P]])/Table1[[#This Row],[K]])
)</f>
        <v>#N/A</v>
      </c>
    </row>
    <row r="197" spans="1:18">
      <c r="A197">
        <v>1</v>
      </c>
      <c r="B197" t="s">
        <v>10</v>
      </c>
      <c r="C197" s="1">
        <v>46135</v>
      </c>
      <c r="D197" t="s">
        <v>15</v>
      </c>
      <c r="E197">
        <v>30</v>
      </c>
      <c r="F197" t="s">
        <v>12</v>
      </c>
      <c r="G197" t="s">
        <v>13</v>
      </c>
      <c r="H197" s="1">
        <v>46199</v>
      </c>
      <c r="I197">
        <v>0.4</v>
      </c>
      <c r="J197">
        <v>0</v>
      </c>
      <c r="K197">
        <v>400</v>
      </c>
      <c r="L197">
        <v>0</v>
      </c>
      <c r="M197">
        <v>45.344322916666599</v>
      </c>
      <c r="N197">
        <v>1.9330000000000001</v>
      </c>
      <c r="O197">
        <f>(Table1[[#This Row],[P]]&lt;&gt;0)*(Table1[[#This Row],[C]]&lt;&gt;0)</f>
        <v>0</v>
      </c>
      <c r="P197">
        <f>NETWORKDAYS(Table1[[#This Row],[ts_event]],Table1[[#This Row],[option_expiry_date]])</f>
        <v>47</v>
      </c>
      <c r="Q197">
        <f>Table1[[#This Row],[Column2]]/252</f>
        <v>0.18650793650793651</v>
      </c>
      <c r="R197" s="2" t="e">
        <f>IF(Table1[[#This Row],[CHECK2]]=0,NA(),
-(1/Table1[[#This Row],[T]])*LN((Table1[[#This Row],[S0]]-Table1[[#This Row],[C]]+Table1[[#This Row],[P]])/Table1[[#This Row],[K]])
)</f>
        <v>#N/A</v>
      </c>
    </row>
    <row r="198" spans="1:18">
      <c r="A198">
        <v>1</v>
      </c>
      <c r="B198" t="s">
        <v>10</v>
      </c>
      <c r="C198" s="1">
        <v>46135</v>
      </c>
      <c r="D198" t="s">
        <v>15</v>
      </c>
      <c r="E198">
        <v>33</v>
      </c>
      <c r="F198" t="s">
        <v>12</v>
      </c>
      <c r="G198" t="s">
        <v>13</v>
      </c>
      <c r="H198" s="1">
        <v>46199</v>
      </c>
      <c r="I198">
        <v>0.94499999999999995</v>
      </c>
      <c r="J198">
        <v>0</v>
      </c>
      <c r="K198">
        <v>30</v>
      </c>
      <c r="L198">
        <v>0</v>
      </c>
      <c r="M198">
        <v>45.344322916666599</v>
      </c>
      <c r="N198">
        <v>1.9330000000000001</v>
      </c>
      <c r="O198">
        <f>(Table1[[#This Row],[P]]&lt;&gt;0)*(Table1[[#This Row],[C]]&lt;&gt;0)</f>
        <v>0</v>
      </c>
      <c r="P198">
        <f>NETWORKDAYS(Table1[[#This Row],[ts_event]],Table1[[#This Row],[option_expiry_date]])</f>
        <v>47</v>
      </c>
      <c r="Q198">
        <f>Table1[[#This Row],[Column2]]/252</f>
        <v>0.18650793650793651</v>
      </c>
      <c r="R198" s="2" t="e">
        <f>IF(Table1[[#This Row],[CHECK2]]=0,NA(),
-(1/Table1[[#This Row],[T]])*LN((Table1[[#This Row],[S0]]-Table1[[#This Row],[C]]+Table1[[#This Row],[P]])/Table1[[#This Row],[K]])
)</f>
        <v>#N/A</v>
      </c>
    </row>
    <row r="199" spans="1:18">
      <c r="A199">
        <v>1</v>
      </c>
      <c r="B199" t="s">
        <v>10</v>
      </c>
      <c r="C199" s="1">
        <v>46135</v>
      </c>
      <c r="D199" t="s">
        <v>15</v>
      </c>
      <c r="E199">
        <v>35</v>
      </c>
      <c r="F199" t="s">
        <v>12</v>
      </c>
      <c r="G199" t="s">
        <v>13</v>
      </c>
      <c r="H199" s="1">
        <v>46199</v>
      </c>
      <c r="I199">
        <v>1.47</v>
      </c>
      <c r="J199">
        <v>0</v>
      </c>
      <c r="K199">
        <v>780</v>
      </c>
      <c r="L199">
        <v>0</v>
      </c>
      <c r="M199">
        <v>45.344322916666599</v>
      </c>
      <c r="N199">
        <v>1.9330000000000001</v>
      </c>
      <c r="O199">
        <f>(Table1[[#This Row],[P]]&lt;&gt;0)*(Table1[[#This Row],[C]]&lt;&gt;0)</f>
        <v>0</v>
      </c>
      <c r="P199">
        <f>NETWORKDAYS(Table1[[#This Row],[ts_event]],Table1[[#This Row],[option_expiry_date]])</f>
        <v>47</v>
      </c>
      <c r="Q199">
        <f>Table1[[#This Row],[Column2]]/252</f>
        <v>0.18650793650793651</v>
      </c>
      <c r="R199" s="2" t="e">
        <f>IF(Table1[[#This Row],[CHECK2]]=0,NA(),
-(1/Table1[[#This Row],[T]])*LN((Table1[[#This Row],[S0]]-Table1[[#This Row],[C]]+Table1[[#This Row],[P]])/Table1[[#This Row],[K]])
)</f>
        <v>#N/A</v>
      </c>
    </row>
    <row r="200" spans="1:18">
      <c r="A200">
        <v>1</v>
      </c>
      <c r="B200" t="s">
        <v>10</v>
      </c>
      <c r="C200" s="1">
        <v>46135</v>
      </c>
      <c r="D200" t="s">
        <v>15</v>
      </c>
      <c r="E200">
        <v>45</v>
      </c>
      <c r="F200" t="s">
        <v>12</v>
      </c>
      <c r="G200" t="s">
        <v>13</v>
      </c>
      <c r="H200" s="1">
        <v>46199</v>
      </c>
      <c r="I200">
        <v>0</v>
      </c>
      <c r="J200">
        <v>6.14</v>
      </c>
      <c r="K200">
        <v>0</v>
      </c>
      <c r="L200">
        <v>850</v>
      </c>
      <c r="M200">
        <v>45.344322916666599</v>
      </c>
      <c r="N200">
        <v>1.9330000000000001</v>
      </c>
      <c r="O200">
        <f>(Table1[[#This Row],[P]]&lt;&gt;0)*(Table1[[#This Row],[C]]&lt;&gt;0)</f>
        <v>0</v>
      </c>
      <c r="P200">
        <f>NETWORKDAYS(Table1[[#This Row],[ts_event]],Table1[[#This Row],[option_expiry_date]])</f>
        <v>47</v>
      </c>
      <c r="Q200">
        <f>Table1[[#This Row],[Column2]]/252</f>
        <v>0.18650793650793651</v>
      </c>
      <c r="R200" s="2" t="e">
        <f>IF(Table1[[#This Row],[CHECK2]]=0,NA(),
-(1/Table1[[#This Row],[T]])*LN((Table1[[#This Row],[S0]]-Table1[[#This Row],[C]]+Table1[[#This Row],[P]])/Table1[[#This Row],[K]])
)</f>
        <v>#N/A</v>
      </c>
    </row>
    <row r="201" spans="1:18">
      <c r="A201">
        <v>1</v>
      </c>
      <c r="B201" t="s">
        <v>10</v>
      </c>
      <c r="C201" s="1">
        <v>46135</v>
      </c>
      <c r="D201" t="s">
        <v>15</v>
      </c>
      <c r="E201">
        <v>47</v>
      </c>
      <c r="F201" t="s">
        <v>12</v>
      </c>
      <c r="G201" t="s">
        <v>13</v>
      </c>
      <c r="H201" s="1">
        <v>46199</v>
      </c>
      <c r="I201">
        <v>0</v>
      </c>
      <c r="J201">
        <v>5.4</v>
      </c>
      <c r="K201">
        <v>0</v>
      </c>
      <c r="L201">
        <v>375</v>
      </c>
      <c r="M201">
        <v>45.344322916666599</v>
      </c>
      <c r="N201">
        <v>1.9330000000000001</v>
      </c>
      <c r="O201">
        <f>(Table1[[#This Row],[P]]&lt;&gt;0)*(Table1[[#This Row],[C]]&lt;&gt;0)</f>
        <v>0</v>
      </c>
      <c r="P201">
        <f>NETWORKDAYS(Table1[[#This Row],[ts_event]],Table1[[#This Row],[option_expiry_date]])</f>
        <v>47</v>
      </c>
      <c r="Q201">
        <f>Table1[[#This Row],[Column2]]/252</f>
        <v>0.18650793650793651</v>
      </c>
      <c r="R201" s="2" t="e">
        <f>IF(Table1[[#This Row],[CHECK2]]=0,NA(),
-(1/Table1[[#This Row],[T]])*LN((Table1[[#This Row],[S0]]-Table1[[#This Row],[C]]+Table1[[#This Row],[P]])/Table1[[#This Row],[K]])
)</f>
        <v>#N/A</v>
      </c>
    </row>
    <row r="202" spans="1:18">
      <c r="A202">
        <v>1</v>
      </c>
      <c r="B202" t="s">
        <v>10</v>
      </c>
      <c r="C202" s="1">
        <v>46135</v>
      </c>
      <c r="D202" t="s">
        <v>15</v>
      </c>
      <c r="E202">
        <v>50</v>
      </c>
      <c r="F202" t="s">
        <v>12</v>
      </c>
      <c r="G202" t="s">
        <v>13</v>
      </c>
      <c r="H202" s="1">
        <v>46199</v>
      </c>
      <c r="I202">
        <v>0</v>
      </c>
      <c r="J202">
        <v>4.7</v>
      </c>
      <c r="K202">
        <v>0</v>
      </c>
      <c r="L202">
        <v>1850</v>
      </c>
      <c r="M202">
        <v>45.344322916666599</v>
      </c>
      <c r="N202">
        <v>1.9330000000000001</v>
      </c>
      <c r="O202">
        <f>(Table1[[#This Row],[P]]&lt;&gt;0)*(Table1[[#This Row],[C]]&lt;&gt;0)</f>
        <v>0</v>
      </c>
      <c r="P202">
        <f>NETWORKDAYS(Table1[[#This Row],[ts_event]],Table1[[#This Row],[option_expiry_date]])</f>
        <v>47</v>
      </c>
      <c r="Q202">
        <f>Table1[[#This Row],[Column2]]/252</f>
        <v>0.18650793650793651</v>
      </c>
      <c r="R202" s="2" t="e">
        <f>IF(Table1[[#This Row],[CHECK2]]=0,NA(),
-(1/Table1[[#This Row],[T]])*LN((Table1[[#This Row],[S0]]-Table1[[#This Row],[C]]+Table1[[#This Row],[P]])/Table1[[#This Row],[K]])
)</f>
        <v>#N/A</v>
      </c>
    </row>
    <row r="203" spans="1:18">
      <c r="A203">
        <v>1</v>
      </c>
      <c r="B203" t="s">
        <v>10</v>
      </c>
      <c r="C203" s="1">
        <v>46135</v>
      </c>
      <c r="D203" t="s">
        <v>15</v>
      </c>
      <c r="E203">
        <v>55</v>
      </c>
      <c r="F203" t="s">
        <v>12</v>
      </c>
      <c r="G203" t="s">
        <v>13</v>
      </c>
      <c r="H203" s="1">
        <v>46199</v>
      </c>
      <c r="I203">
        <v>0</v>
      </c>
      <c r="J203">
        <v>3.64</v>
      </c>
      <c r="K203">
        <v>0</v>
      </c>
      <c r="L203">
        <v>575</v>
      </c>
      <c r="M203">
        <v>45.344322916666599</v>
      </c>
      <c r="N203">
        <v>1.9330000000000001</v>
      </c>
      <c r="O203">
        <f>(Table1[[#This Row],[P]]&lt;&gt;0)*(Table1[[#This Row],[C]]&lt;&gt;0)</f>
        <v>0</v>
      </c>
      <c r="P203">
        <f>NETWORKDAYS(Table1[[#This Row],[ts_event]],Table1[[#This Row],[option_expiry_date]])</f>
        <v>47</v>
      </c>
      <c r="Q203">
        <f>Table1[[#This Row],[Column2]]/252</f>
        <v>0.18650793650793651</v>
      </c>
      <c r="R203" s="2" t="e">
        <f>IF(Table1[[#This Row],[CHECK2]]=0,NA(),
-(1/Table1[[#This Row],[T]])*LN((Table1[[#This Row],[S0]]-Table1[[#This Row],[C]]+Table1[[#This Row],[P]])/Table1[[#This Row],[K]])
)</f>
        <v>#N/A</v>
      </c>
    </row>
    <row r="204" spans="1:18">
      <c r="A204">
        <v>1</v>
      </c>
      <c r="B204" t="s">
        <v>10</v>
      </c>
      <c r="C204" s="1">
        <v>46135</v>
      </c>
      <c r="D204" t="s">
        <v>15</v>
      </c>
      <c r="E204">
        <v>57</v>
      </c>
      <c r="F204" t="s">
        <v>12</v>
      </c>
      <c r="G204" t="s">
        <v>13</v>
      </c>
      <c r="H204" s="1">
        <v>46199</v>
      </c>
      <c r="I204">
        <v>0</v>
      </c>
      <c r="J204">
        <v>3.2149999999999999</v>
      </c>
      <c r="K204">
        <v>0</v>
      </c>
      <c r="L204">
        <v>5</v>
      </c>
      <c r="M204">
        <v>45.344322916666599</v>
      </c>
      <c r="N204">
        <v>1.9330000000000001</v>
      </c>
      <c r="O204">
        <f>(Table1[[#This Row],[P]]&lt;&gt;0)*(Table1[[#This Row],[C]]&lt;&gt;0)</f>
        <v>0</v>
      </c>
      <c r="P204">
        <f>NETWORKDAYS(Table1[[#This Row],[ts_event]],Table1[[#This Row],[option_expiry_date]])</f>
        <v>47</v>
      </c>
      <c r="Q204">
        <f>Table1[[#This Row],[Column2]]/252</f>
        <v>0.18650793650793651</v>
      </c>
      <c r="R204" s="2" t="e">
        <f>IF(Table1[[#This Row],[CHECK2]]=0,NA(),
-(1/Table1[[#This Row],[T]])*LN((Table1[[#This Row],[S0]]-Table1[[#This Row],[C]]+Table1[[#This Row],[P]])/Table1[[#This Row],[K]])
)</f>
        <v>#N/A</v>
      </c>
    </row>
    <row r="205" spans="1:18">
      <c r="A205">
        <v>1</v>
      </c>
      <c r="B205" t="s">
        <v>10</v>
      </c>
      <c r="C205" s="1">
        <v>46135</v>
      </c>
      <c r="D205" t="s">
        <v>15</v>
      </c>
      <c r="E205">
        <v>60</v>
      </c>
      <c r="F205" t="s">
        <v>12</v>
      </c>
      <c r="G205" t="s">
        <v>13</v>
      </c>
      <c r="H205" s="1">
        <v>46199</v>
      </c>
      <c r="I205">
        <v>0</v>
      </c>
      <c r="J205">
        <v>3.1</v>
      </c>
      <c r="K205">
        <v>0</v>
      </c>
      <c r="L205">
        <v>665</v>
      </c>
      <c r="M205">
        <v>45.344322916666599</v>
      </c>
      <c r="N205">
        <v>1.9330000000000001</v>
      </c>
      <c r="O205">
        <f>(Table1[[#This Row],[P]]&lt;&gt;0)*(Table1[[#This Row],[C]]&lt;&gt;0)</f>
        <v>0</v>
      </c>
      <c r="P205">
        <f>NETWORKDAYS(Table1[[#This Row],[ts_event]],Table1[[#This Row],[option_expiry_date]])</f>
        <v>47</v>
      </c>
      <c r="Q205">
        <f>Table1[[#This Row],[Column2]]/252</f>
        <v>0.18650793650793651</v>
      </c>
      <c r="R205" s="2" t="e">
        <f>IF(Table1[[#This Row],[CHECK2]]=0,NA(),
-(1/Table1[[#This Row],[T]])*LN((Table1[[#This Row],[S0]]-Table1[[#This Row],[C]]+Table1[[#This Row],[P]])/Table1[[#This Row],[K]])
)</f>
        <v>#N/A</v>
      </c>
    </row>
    <row r="206" spans="1:18">
      <c r="A206">
        <v>1</v>
      </c>
      <c r="B206" t="s">
        <v>10</v>
      </c>
      <c r="C206" s="1">
        <v>46135</v>
      </c>
      <c r="D206" t="s">
        <v>15</v>
      </c>
      <c r="E206">
        <v>65</v>
      </c>
      <c r="F206" t="s">
        <v>12</v>
      </c>
      <c r="G206" t="s">
        <v>13</v>
      </c>
      <c r="H206" s="1">
        <v>46199</v>
      </c>
      <c r="I206">
        <v>0</v>
      </c>
      <c r="J206">
        <v>2.35</v>
      </c>
      <c r="K206">
        <v>0</v>
      </c>
      <c r="L206">
        <v>15</v>
      </c>
      <c r="M206">
        <v>45.344322916666599</v>
      </c>
      <c r="N206">
        <v>1.9330000000000001</v>
      </c>
      <c r="O206">
        <f>(Table1[[#This Row],[P]]&lt;&gt;0)*(Table1[[#This Row],[C]]&lt;&gt;0)</f>
        <v>0</v>
      </c>
      <c r="P206">
        <f>NETWORKDAYS(Table1[[#This Row],[ts_event]],Table1[[#This Row],[option_expiry_date]])</f>
        <v>47</v>
      </c>
      <c r="Q206">
        <f>Table1[[#This Row],[Column2]]/252</f>
        <v>0.18650793650793651</v>
      </c>
      <c r="R206" s="2" t="e">
        <f>IF(Table1[[#This Row],[CHECK2]]=0,NA(),
-(1/Table1[[#This Row],[T]])*LN((Table1[[#This Row],[S0]]-Table1[[#This Row],[C]]+Table1[[#This Row],[P]])/Table1[[#This Row],[K]])
)</f>
        <v>#N/A</v>
      </c>
    </row>
    <row r="207" spans="1:18">
      <c r="A207">
        <v>1</v>
      </c>
      <c r="B207" t="s">
        <v>10</v>
      </c>
      <c r="C207" s="1">
        <v>46135</v>
      </c>
      <c r="D207" t="s">
        <v>15</v>
      </c>
      <c r="E207">
        <v>70</v>
      </c>
      <c r="F207" t="s">
        <v>12</v>
      </c>
      <c r="G207" t="s">
        <v>13</v>
      </c>
      <c r="H207" s="1">
        <v>46199</v>
      </c>
      <c r="I207">
        <v>0</v>
      </c>
      <c r="J207">
        <v>2.1</v>
      </c>
      <c r="K207">
        <v>0</v>
      </c>
      <c r="L207">
        <v>300</v>
      </c>
      <c r="M207">
        <v>45.344322916666599</v>
      </c>
      <c r="N207">
        <v>1.9330000000000001</v>
      </c>
      <c r="O207">
        <f>(Table1[[#This Row],[P]]&lt;&gt;0)*(Table1[[#This Row],[C]]&lt;&gt;0)</f>
        <v>0</v>
      </c>
      <c r="P207">
        <f>NETWORKDAYS(Table1[[#This Row],[ts_event]],Table1[[#This Row],[option_expiry_date]])</f>
        <v>47</v>
      </c>
      <c r="Q207">
        <f>Table1[[#This Row],[Column2]]/252</f>
        <v>0.18650793650793651</v>
      </c>
      <c r="R207" s="2" t="e">
        <f>IF(Table1[[#This Row],[CHECK2]]=0,NA(),
-(1/Table1[[#This Row],[T]])*LN((Table1[[#This Row],[S0]]-Table1[[#This Row],[C]]+Table1[[#This Row],[P]])/Table1[[#This Row],[K]])
)</f>
        <v>#N/A</v>
      </c>
    </row>
    <row r="208" spans="1:18">
      <c r="A208">
        <v>1</v>
      </c>
      <c r="B208" t="s">
        <v>10</v>
      </c>
      <c r="C208" s="1">
        <v>46135</v>
      </c>
      <c r="D208" t="s">
        <v>15</v>
      </c>
      <c r="E208">
        <v>80</v>
      </c>
      <c r="F208" t="s">
        <v>12</v>
      </c>
      <c r="G208" t="s">
        <v>13</v>
      </c>
      <c r="H208" s="1">
        <v>46199</v>
      </c>
      <c r="I208">
        <v>0</v>
      </c>
      <c r="J208">
        <v>1.5</v>
      </c>
      <c r="K208">
        <v>0</v>
      </c>
      <c r="L208">
        <v>650</v>
      </c>
      <c r="M208">
        <v>45.344322916666599</v>
      </c>
      <c r="N208">
        <v>1.9330000000000001</v>
      </c>
      <c r="O208">
        <f>(Table1[[#This Row],[P]]&lt;&gt;0)*(Table1[[#This Row],[C]]&lt;&gt;0)</f>
        <v>0</v>
      </c>
      <c r="P208">
        <f>NETWORKDAYS(Table1[[#This Row],[ts_event]],Table1[[#This Row],[option_expiry_date]])</f>
        <v>47</v>
      </c>
      <c r="Q208">
        <f>Table1[[#This Row],[Column2]]/252</f>
        <v>0.18650793650793651</v>
      </c>
      <c r="R208" s="2" t="e">
        <f>IF(Table1[[#This Row],[CHECK2]]=0,NA(),
-(1/Table1[[#This Row],[T]])*LN((Table1[[#This Row],[S0]]-Table1[[#This Row],[C]]+Table1[[#This Row],[P]])/Table1[[#This Row],[K]])
)</f>
        <v>#N/A</v>
      </c>
    </row>
    <row r="209" spans="1:18">
      <c r="A209">
        <v>1</v>
      </c>
      <c r="B209" t="s">
        <v>10</v>
      </c>
      <c r="C209" s="1">
        <v>46135</v>
      </c>
      <c r="D209" t="s">
        <v>16</v>
      </c>
      <c r="E209">
        <v>29</v>
      </c>
      <c r="F209" t="s">
        <v>12</v>
      </c>
      <c r="G209" t="s">
        <v>13</v>
      </c>
      <c r="H209" s="1">
        <v>46230</v>
      </c>
      <c r="I209">
        <v>0.54</v>
      </c>
      <c r="J209">
        <v>0</v>
      </c>
      <c r="K209">
        <v>300</v>
      </c>
      <c r="L209">
        <v>0</v>
      </c>
      <c r="M209">
        <v>45.344612518211299</v>
      </c>
      <c r="N209">
        <v>1.9330000000000001</v>
      </c>
      <c r="O209">
        <f>(Table1[[#This Row],[P]]&lt;&gt;0)*(Table1[[#This Row],[C]]&lt;&gt;0)</f>
        <v>0</v>
      </c>
      <c r="P209">
        <f>NETWORKDAYS(Table1[[#This Row],[ts_event]],Table1[[#This Row],[option_expiry_date]])</f>
        <v>68</v>
      </c>
      <c r="Q209">
        <f>Table1[[#This Row],[Column2]]/252</f>
        <v>0.26984126984126983</v>
      </c>
      <c r="R209" s="2" t="e">
        <f>IF(Table1[[#This Row],[CHECK2]]=0,NA(),
-(1/Table1[[#This Row],[T]])*LN((Table1[[#This Row],[S0]]-Table1[[#This Row],[C]]+Table1[[#This Row],[P]])/Table1[[#This Row],[K]])
)</f>
        <v>#N/A</v>
      </c>
    </row>
    <row r="210" spans="1:18">
      <c r="A210">
        <v>1</v>
      </c>
      <c r="B210" t="s">
        <v>10</v>
      </c>
      <c r="C210" s="1">
        <v>46135</v>
      </c>
      <c r="D210" t="s">
        <v>16</v>
      </c>
      <c r="E210">
        <v>30</v>
      </c>
      <c r="F210" t="s">
        <v>12</v>
      </c>
      <c r="G210" t="s">
        <v>13</v>
      </c>
      <c r="H210" s="1">
        <v>46230</v>
      </c>
      <c r="I210">
        <v>0.71</v>
      </c>
      <c r="J210">
        <v>0</v>
      </c>
      <c r="K210">
        <v>750</v>
      </c>
      <c r="L210">
        <v>0</v>
      </c>
      <c r="M210">
        <v>45.344612518211299</v>
      </c>
      <c r="N210">
        <v>1.9330000000000001</v>
      </c>
      <c r="O210">
        <f>(Table1[[#This Row],[P]]&lt;&gt;0)*(Table1[[#This Row],[C]]&lt;&gt;0)</f>
        <v>0</v>
      </c>
      <c r="P210">
        <f>NETWORKDAYS(Table1[[#This Row],[ts_event]],Table1[[#This Row],[option_expiry_date]])</f>
        <v>68</v>
      </c>
      <c r="Q210">
        <f>Table1[[#This Row],[Column2]]/252</f>
        <v>0.26984126984126983</v>
      </c>
      <c r="R210" s="2" t="e">
        <f>IF(Table1[[#This Row],[CHECK2]]=0,NA(),
-(1/Table1[[#This Row],[T]])*LN((Table1[[#This Row],[S0]]-Table1[[#This Row],[C]]+Table1[[#This Row],[P]])/Table1[[#This Row],[K]])
)</f>
        <v>#N/A</v>
      </c>
    </row>
    <row r="211" spans="1:18">
      <c r="A211">
        <v>1</v>
      </c>
      <c r="B211" t="s">
        <v>10</v>
      </c>
      <c r="C211" s="1">
        <v>46135</v>
      </c>
      <c r="D211" t="s">
        <v>16</v>
      </c>
      <c r="E211">
        <v>34.5</v>
      </c>
      <c r="F211" t="s">
        <v>12</v>
      </c>
      <c r="G211" t="s">
        <v>13</v>
      </c>
      <c r="H211" s="1">
        <v>46230</v>
      </c>
      <c r="I211">
        <v>1.7749999999999999</v>
      </c>
      <c r="J211">
        <v>0</v>
      </c>
      <c r="K211">
        <v>140</v>
      </c>
      <c r="L211">
        <v>0</v>
      </c>
      <c r="M211">
        <v>45.344612518211299</v>
      </c>
      <c r="N211">
        <v>1.9330000000000001</v>
      </c>
      <c r="O211">
        <f>(Table1[[#This Row],[P]]&lt;&gt;0)*(Table1[[#This Row],[C]]&lt;&gt;0)</f>
        <v>0</v>
      </c>
      <c r="P211">
        <f>NETWORKDAYS(Table1[[#This Row],[ts_event]],Table1[[#This Row],[option_expiry_date]])</f>
        <v>68</v>
      </c>
      <c r="Q211">
        <f>Table1[[#This Row],[Column2]]/252</f>
        <v>0.26984126984126983</v>
      </c>
      <c r="R211" s="2" t="e">
        <f>IF(Table1[[#This Row],[CHECK2]]=0,NA(),
-(1/Table1[[#This Row],[T]])*LN((Table1[[#This Row],[S0]]-Table1[[#This Row],[C]]+Table1[[#This Row],[P]])/Table1[[#This Row],[K]])
)</f>
        <v>#N/A</v>
      </c>
    </row>
    <row r="212" spans="1:18">
      <c r="A212">
        <v>1</v>
      </c>
      <c r="B212" t="s">
        <v>10</v>
      </c>
      <c r="C212" s="1">
        <v>46135</v>
      </c>
      <c r="D212" t="s">
        <v>16</v>
      </c>
      <c r="E212">
        <v>35</v>
      </c>
      <c r="F212" t="s">
        <v>12</v>
      </c>
      <c r="G212" t="s">
        <v>13</v>
      </c>
      <c r="H212" s="1">
        <v>46230</v>
      </c>
      <c r="I212">
        <v>1.8</v>
      </c>
      <c r="J212">
        <v>0</v>
      </c>
      <c r="K212">
        <v>700</v>
      </c>
      <c r="L212">
        <v>0</v>
      </c>
      <c r="M212">
        <v>45.344612518211299</v>
      </c>
      <c r="N212">
        <v>1.9330000000000001</v>
      </c>
      <c r="O212">
        <f>(Table1[[#This Row],[P]]&lt;&gt;0)*(Table1[[#This Row],[C]]&lt;&gt;0)</f>
        <v>0</v>
      </c>
      <c r="P212">
        <f>NETWORKDAYS(Table1[[#This Row],[ts_event]],Table1[[#This Row],[option_expiry_date]])</f>
        <v>68</v>
      </c>
      <c r="Q212">
        <f>Table1[[#This Row],[Column2]]/252</f>
        <v>0.26984126984126983</v>
      </c>
      <c r="R212" s="2" t="e">
        <f>IF(Table1[[#This Row],[CHECK2]]=0,NA(),
-(1/Table1[[#This Row],[T]])*LN((Table1[[#This Row],[S0]]-Table1[[#This Row],[C]]+Table1[[#This Row],[P]])/Table1[[#This Row],[K]])
)</f>
        <v>#N/A</v>
      </c>
    </row>
    <row r="213" spans="1:18">
      <c r="A213">
        <v>1</v>
      </c>
      <c r="B213" t="s">
        <v>10</v>
      </c>
      <c r="C213" s="1">
        <v>46135</v>
      </c>
      <c r="D213" t="s">
        <v>16</v>
      </c>
      <c r="E213">
        <v>55</v>
      </c>
      <c r="F213" t="s">
        <v>12</v>
      </c>
      <c r="G213" t="s">
        <v>13</v>
      </c>
      <c r="H213" s="1">
        <v>46230</v>
      </c>
      <c r="I213">
        <v>0</v>
      </c>
      <c r="J213">
        <v>4.45</v>
      </c>
      <c r="K213">
        <v>0</v>
      </c>
      <c r="L213">
        <v>20</v>
      </c>
      <c r="M213">
        <v>45.344612518211299</v>
      </c>
      <c r="N213">
        <v>1.9330000000000001</v>
      </c>
      <c r="O213">
        <f>(Table1[[#This Row],[P]]&lt;&gt;0)*(Table1[[#This Row],[C]]&lt;&gt;0)</f>
        <v>0</v>
      </c>
      <c r="P213">
        <f>NETWORKDAYS(Table1[[#This Row],[ts_event]],Table1[[#This Row],[option_expiry_date]])</f>
        <v>68</v>
      </c>
      <c r="Q213">
        <f>Table1[[#This Row],[Column2]]/252</f>
        <v>0.26984126984126983</v>
      </c>
      <c r="R213" s="2" t="e">
        <f>IF(Table1[[#This Row],[CHECK2]]=0,NA(),
-(1/Table1[[#This Row],[T]])*LN((Table1[[#This Row],[S0]]-Table1[[#This Row],[C]]+Table1[[#This Row],[P]])/Table1[[#This Row],[K]])
)</f>
        <v>#N/A</v>
      </c>
    </row>
    <row r="214" spans="1:18">
      <c r="A214">
        <v>1</v>
      </c>
      <c r="B214" t="s">
        <v>10</v>
      </c>
      <c r="C214" s="1">
        <v>46135</v>
      </c>
      <c r="D214" t="s">
        <v>16</v>
      </c>
      <c r="E214">
        <v>95</v>
      </c>
      <c r="F214" t="s">
        <v>12</v>
      </c>
      <c r="G214" t="s">
        <v>13</v>
      </c>
      <c r="H214" s="1">
        <v>46230</v>
      </c>
      <c r="I214">
        <v>0</v>
      </c>
      <c r="J214">
        <v>1.1000000000000001</v>
      </c>
      <c r="K214">
        <v>0</v>
      </c>
      <c r="L214">
        <v>75</v>
      </c>
      <c r="M214">
        <v>45.344612518211299</v>
      </c>
      <c r="N214">
        <v>1.9330000000000001</v>
      </c>
      <c r="O214">
        <f>(Table1[[#This Row],[P]]&lt;&gt;0)*(Table1[[#This Row],[C]]&lt;&gt;0)</f>
        <v>0</v>
      </c>
      <c r="P214">
        <f>NETWORKDAYS(Table1[[#This Row],[ts_event]],Table1[[#This Row],[option_expiry_date]])</f>
        <v>68</v>
      </c>
      <c r="Q214">
        <f>Table1[[#This Row],[Column2]]/252</f>
        <v>0.26984126984126983</v>
      </c>
      <c r="R214" s="2" t="e">
        <f>IF(Table1[[#This Row],[CHECK2]]=0,NA(),
-(1/Table1[[#This Row],[T]])*LN((Table1[[#This Row],[S0]]-Table1[[#This Row],[C]]+Table1[[#This Row],[P]])/Table1[[#This Row],[K]])
)</f>
        <v>#N/A</v>
      </c>
    </row>
    <row r="215" spans="1:18">
      <c r="A215">
        <v>1</v>
      </c>
      <c r="B215" t="s">
        <v>10</v>
      </c>
      <c r="C215" s="1">
        <v>46135</v>
      </c>
      <c r="D215" t="s">
        <v>17</v>
      </c>
      <c r="E215">
        <v>25</v>
      </c>
      <c r="F215" t="s">
        <v>12</v>
      </c>
      <c r="G215" t="s">
        <v>13</v>
      </c>
      <c r="H215" s="1">
        <v>46260</v>
      </c>
      <c r="I215">
        <v>0.28999999999999998</v>
      </c>
      <c r="J215">
        <v>0</v>
      </c>
      <c r="K215">
        <v>50</v>
      </c>
      <c r="L215">
        <v>0</v>
      </c>
      <c r="M215">
        <v>45.3571515520389</v>
      </c>
      <c r="N215">
        <v>1.9330000000000001</v>
      </c>
      <c r="O215">
        <f>(Table1[[#This Row],[P]]&lt;&gt;0)*(Table1[[#This Row],[C]]&lt;&gt;0)</f>
        <v>0</v>
      </c>
      <c r="P215">
        <f>NETWORKDAYS(Table1[[#This Row],[ts_event]],Table1[[#This Row],[option_expiry_date]])</f>
        <v>90</v>
      </c>
      <c r="Q215">
        <f>Table1[[#This Row],[Column2]]/252</f>
        <v>0.35714285714285715</v>
      </c>
      <c r="R215" s="2" t="e">
        <f>IF(Table1[[#This Row],[CHECK2]]=0,NA(),
-(1/Table1[[#This Row],[T]])*LN((Table1[[#This Row],[S0]]-Table1[[#This Row],[C]]+Table1[[#This Row],[P]])/Table1[[#This Row],[K]])
)</f>
        <v>#N/A</v>
      </c>
    </row>
    <row r="216" spans="1:18">
      <c r="A216">
        <v>1</v>
      </c>
      <c r="B216" t="s">
        <v>10</v>
      </c>
      <c r="C216" s="1">
        <v>46135</v>
      </c>
      <c r="D216" t="s">
        <v>17</v>
      </c>
      <c r="E216">
        <v>35</v>
      </c>
      <c r="F216" t="s">
        <v>12</v>
      </c>
      <c r="G216" t="s">
        <v>13</v>
      </c>
      <c r="H216" s="1">
        <v>46260</v>
      </c>
      <c r="I216">
        <v>2.2149999999999999</v>
      </c>
      <c r="J216">
        <v>0</v>
      </c>
      <c r="K216">
        <v>50</v>
      </c>
      <c r="L216">
        <v>0</v>
      </c>
      <c r="M216">
        <v>45.3571515520389</v>
      </c>
      <c r="N216">
        <v>1.9330000000000001</v>
      </c>
      <c r="O216">
        <f>(Table1[[#This Row],[P]]&lt;&gt;0)*(Table1[[#This Row],[C]]&lt;&gt;0)</f>
        <v>0</v>
      </c>
      <c r="P216">
        <f>NETWORKDAYS(Table1[[#This Row],[ts_event]],Table1[[#This Row],[option_expiry_date]])</f>
        <v>90</v>
      </c>
      <c r="Q216">
        <f>Table1[[#This Row],[Column2]]/252</f>
        <v>0.35714285714285715</v>
      </c>
      <c r="R216" s="2" t="e">
        <f>IF(Table1[[#This Row],[CHECK2]]=0,NA(),
-(1/Table1[[#This Row],[T]])*LN((Table1[[#This Row],[S0]]-Table1[[#This Row],[C]]+Table1[[#This Row],[P]])/Table1[[#This Row],[K]])
)</f>
        <v>#N/A</v>
      </c>
    </row>
    <row r="217" spans="1:18">
      <c r="A217">
        <v>1</v>
      </c>
      <c r="B217" t="s">
        <v>10</v>
      </c>
      <c r="C217" s="1">
        <v>46135</v>
      </c>
      <c r="D217" t="s">
        <v>17</v>
      </c>
      <c r="E217">
        <v>37</v>
      </c>
      <c r="F217" t="s">
        <v>12</v>
      </c>
      <c r="G217" t="s">
        <v>13</v>
      </c>
      <c r="H217" s="1">
        <v>46260</v>
      </c>
      <c r="I217">
        <v>3.05</v>
      </c>
      <c r="J217">
        <v>0</v>
      </c>
      <c r="K217">
        <v>1500</v>
      </c>
      <c r="L217">
        <v>0</v>
      </c>
      <c r="M217">
        <v>45.3571515520389</v>
      </c>
      <c r="N217">
        <v>1.9330000000000001</v>
      </c>
      <c r="O217">
        <f>(Table1[[#This Row],[P]]&lt;&gt;0)*(Table1[[#This Row],[C]]&lt;&gt;0)</f>
        <v>0</v>
      </c>
      <c r="P217">
        <f>NETWORKDAYS(Table1[[#This Row],[ts_event]],Table1[[#This Row],[option_expiry_date]])</f>
        <v>90</v>
      </c>
      <c r="Q217">
        <f>Table1[[#This Row],[Column2]]/252</f>
        <v>0.35714285714285715</v>
      </c>
      <c r="R217" s="2" t="e">
        <f>IF(Table1[[#This Row],[CHECK2]]=0,NA(),
-(1/Table1[[#This Row],[T]])*LN((Table1[[#This Row],[S0]]-Table1[[#This Row],[C]]+Table1[[#This Row],[P]])/Table1[[#This Row],[K]])
)</f>
        <v>#N/A</v>
      </c>
    </row>
    <row r="218" spans="1:18">
      <c r="A218">
        <v>1</v>
      </c>
      <c r="B218" t="s">
        <v>10</v>
      </c>
      <c r="C218" s="1">
        <v>46135</v>
      </c>
      <c r="D218" t="s">
        <v>17</v>
      </c>
      <c r="E218">
        <v>40</v>
      </c>
      <c r="F218" t="s">
        <v>12</v>
      </c>
      <c r="G218" t="s">
        <v>13</v>
      </c>
      <c r="H218" s="1">
        <v>46260</v>
      </c>
      <c r="I218">
        <v>4.5999999999999996</v>
      </c>
      <c r="J218">
        <v>0</v>
      </c>
      <c r="K218">
        <v>775</v>
      </c>
      <c r="L218">
        <v>0</v>
      </c>
      <c r="M218">
        <v>45.3571515520389</v>
      </c>
      <c r="N218">
        <v>1.9330000000000001</v>
      </c>
      <c r="O218">
        <f>(Table1[[#This Row],[P]]&lt;&gt;0)*(Table1[[#This Row],[C]]&lt;&gt;0)</f>
        <v>0</v>
      </c>
      <c r="P218">
        <f>NETWORKDAYS(Table1[[#This Row],[ts_event]],Table1[[#This Row],[option_expiry_date]])</f>
        <v>90</v>
      </c>
      <c r="Q218">
        <f>Table1[[#This Row],[Column2]]/252</f>
        <v>0.35714285714285715</v>
      </c>
      <c r="R218" s="2" t="e">
        <f>IF(Table1[[#This Row],[CHECK2]]=0,NA(),
-(1/Table1[[#This Row],[T]])*LN((Table1[[#This Row],[S0]]-Table1[[#This Row],[C]]+Table1[[#This Row],[P]])/Table1[[#This Row],[K]])
)</f>
        <v>#N/A</v>
      </c>
    </row>
    <row r="219" spans="1:18">
      <c r="A219">
        <v>1</v>
      </c>
      <c r="B219" t="s">
        <v>10</v>
      </c>
      <c r="C219" s="1">
        <v>46135</v>
      </c>
      <c r="D219" t="s">
        <v>17</v>
      </c>
      <c r="E219">
        <v>45</v>
      </c>
      <c r="F219" t="s">
        <v>12</v>
      </c>
      <c r="G219" t="s">
        <v>13</v>
      </c>
      <c r="H219" s="1">
        <v>46260</v>
      </c>
      <c r="I219">
        <v>0</v>
      </c>
      <c r="J219">
        <v>7.0949999999999998</v>
      </c>
      <c r="K219">
        <v>0</v>
      </c>
      <c r="L219">
        <v>400</v>
      </c>
      <c r="M219">
        <v>45.3571515520389</v>
      </c>
      <c r="N219">
        <v>1.9330000000000001</v>
      </c>
      <c r="O219">
        <f>(Table1[[#This Row],[P]]&lt;&gt;0)*(Table1[[#This Row],[C]]&lt;&gt;0)</f>
        <v>0</v>
      </c>
      <c r="P219">
        <f>NETWORKDAYS(Table1[[#This Row],[ts_event]],Table1[[#This Row],[option_expiry_date]])</f>
        <v>90</v>
      </c>
      <c r="Q219">
        <f>Table1[[#This Row],[Column2]]/252</f>
        <v>0.35714285714285715</v>
      </c>
      <c r="R219" s="2" t="e">
        <f>IF(Table1[[#This Row],[CHECK2]]=0,NA(),
-(1/Table1[[#This Row],[T]])*LN((Table1[[#This Row],[S0]]-Table1[[#This Row],[C]]+Table1[[#This Row],[P]])/Table1[[#This Row],[K]])
)</f>
        <v>#N/A</v>
      </c>
    </row>
    <row r="220" spans="1:18">
      <c r="A220">
        <v>1</v>
      </c>
      <c r="B220" t="s">
        <v>10</v>
      </c>
      <c r="C220" s="1">
        <v>46135</v>
      </c>
      <c r="D220" t="s">
        <v>17</v>
      </c>
      <c r="E220">
        <v>50</v>
      </c>
      <c r="F220" t="s">
        <v>12</v>
      </c>
      <c r="G220" t="s">
        <v>13</v>
      </c>
      <c r="H220" s="1">
        <v>46260</v>
      </c>
      <c r="I220">
        <v>0</v>
      </c>
      <c r="J220">
        <v>5.91</v>
      </c>
      <c r="K220">
        <v>0</v>
      </c>
      <c r="L220">
        <v>2200</v>
      </c>
      <c r="M220">
        <v>45.3571515520389</v>
      </c>
      <c r="N220">
        <v>1.9330000000000001</v>
      </c>
      <c r="O220">
        <f>(Table1[[#This Row],[P]]&lt;&gt;0)*(Table1[[#This Row],[C]]&lt;&gt;0)</f>
        <v>0</v>
      </c>
      <c r="P220">
        <f>NETWORKDAYS(Table1[[#This Row],[ts_event]],Table1[[#This Row],[option_expiry_date]])</f>
        <v>90</v>
      </c>
      <c r="Q220">
        <f>Table1[[#This Row],[Column2]]/252</f>
        <v>0.35714285714285715</v>
      </c>
      <c r="R220" s="2" t="e">
        <f>IF(Table1[[#This Row],[CHECK2]]=0,NA(),
-(1/Table1[[#This Row],[T]])*LN((Table1[[#This Row],[S0]]-Table1[[#This Row],[C]]+Table1[[#This Row],[P]])/Table1[[#This Row],[K]])
)</f>
        <v>#N/A</v>
      </c>
    </row>
    <row r="221" spans="1:18">
      <c r="A221">
        <v>1</v>
      </c>
      <c r="B221" t="s">
        <v>10</v>
      </c>
      <c r="C221" s="1">
        <v>46135</v>
      </c>
      <c r="D221" t="s">
        <v>17</v>
      </c>
      <c r="E221">
        <v>55</v>
      </c>
      <c r="F221" t="s">
        <v>12</v>
      </c>
      <c r="G221" t="s">
        <v>13</v>
      </c>
      <c r="H221" s="1">
        <v>46260</v>
      </c>
      <c r="I221">
        <v>0</v>
      </c>
      <c r="J221">
        <v>4.875</v>
      </c>
      <c r="K221">
        <v>0</v>
      </c>
      <c r="L221">
        <v>350</v>
      </c>
      <c r="M221">
        <v>45.3571515520389</v>
      </c>
      <c r="N221">
        <v>1.9330000000000001</v>
      </c>
      <c r="O221">
        <f>(Table1[[#This Row],[P]]&lt;&gt;0)*(Table1[[#This Row],[C]]&lt;&gt;0)</f>
        <v>0</v>
      </c>
      <c r="P221">
        <f>NETWORKDAYS(Table1[[#This Row],[ts_event]],Table1[[#This Row],[option_expiry_date]])</f>
        <v>90</v>
      </c>
      <c r="Q221">
        <f>Table1[[#This Row],[Column2]]/252</f>
        <v>0.35714285714285715</v>
      </c>
      <c r="R221" s="2" t="e">
        <f>IF(Table1[[#This Row],[CHECK2]]=0,NA(),
-(1/Table1[[#This Row],[T]])*LN((Table1[[#This Row],[S0]]-Table1[[#This Row],[C]]+Table1[[#This Row],[P]])/Table1[[#This Row],[K]])
)</f>
        <v>#N/A</v>
      </c>
    </row>
    <row r="222" spans="1:18">
      <c r="A222">
        <v>1</v>
      </c>
      <c r="B222" t="s">
        <v>10</v>
      </c>
      <c r="C222" s="1">
        <v>46135</v>
      </c>
      <c r="D222" t="s">
        <v>17</v>
      </c>
      <c r="E222">
        <v>60</v>
      </c>
      <c r="F222" t="s">
        <v>12</v>
      </c>
      <c r="G222" t="s">
        <v>13</v>
      </c>
      <c r="H222" s="1">
        <v>46260</v>
      </c>
      <c r="I222">
        <v>0</v>
      </c>
      <c r="J222">
        <v>4.1500000000000004</v>
      </c>
      <c r="K222">
        <v>0</v>
      </c>
      <c r="L222">
        <v>715</v>
      </c>
      <c r="M222">
        <v>45.3571515520389</v>
      </c>
      <c r="N222">
        <v>1.9330000000000001</v>
      </c>
      <c r="O222">
        <f>(Table1[[#This Row],[P]]&lt;&gt;0)*(Table1[[#This Row],[C]]&lt;&gt;0)</f>
        <v>0</v>
      </c>
      <c r="P222">
        <f>NETWORKDAYS(Table1[[#This Row],[ts_event]],Table1[[#This Row],[option_expiry_date]])</f>
        <v>90</v>
      </c>
      <c r="Q222">
        <f>Table1[[#This Row],[Column2]]/252</f>
        <v>0.35714285714285715</v>
      </c>
      <c r="R222" s="2" t="e">
        <f>IF(Table1[[#This Row],[CHECK2]]=0,NA(),
-(1/Table1[[#This Row],[T]])*LN((Table1[[#This Row],[S0]]-Table1[[#This Row],[C]]+Table1[[#This Row],[P]])/Table1[[#This Row],[K]])
)</f>
        <v>#N/A</v>
      </c>
    </row>
    <row r="223" spans="1:18">
      <c r="A223">
        <v>1</v>
      </c>
      <c r="B223" t="s">
        <v>10</v>
      </c>
      <c r="C223" s="1">
        <v>46135</v>
      </c>
      <c r="D223" t="s">
        <v>17</v>
      </c>
      <c r="E223">
        <v>65</v>
      </c>
      <c r="F223" t="s">
        <v>12</v>
      </c>
      <c r="G223" t="s">
        <v>13</v>
      </c>
      <c r="H223" s="1">
        <v>46260</v>
      </c>
      <c r="I223">
        <v>0</v>
      </c>
      <c r="J223">
        <v>3.2250000000000001</v>
      </c>
      <c r="K223">
        <v>0</v>
      </c>
      <c r="L223">
        <v>450</v>
      </c>
      <c r="M223">
        <v>45.3571515520389</v>
      </c>
      <c r="N223">
        <v>1.9330000000000001</v>
      </c>
      <c r="O223">
        <f>(Table1[[#This Row],[P]]&lt;&gt;0)*(Table1[[#This Row],[C]]&lt;&gt;0)</f>
        <v>0</v>
      </c>
      <c r="P223">
        <f>NETWORKDAYS(Table1[[#This Row],[ts_event]],Table1[[#This Row],[option_expiry_date]])</f>
        <v>90</v>
      </c>
      <c r="Q223">
        <f>Table1[[#This Row],[Column2]]/252</f>
        <v>0.35714285714285715</v>
      </c>
      <c r="R223" s="2" t="e">
        <f>IF(Table1[[#This Row],[CHECK2]]=0,NA(),
-(1/Table1[[#This Row],[T]])*LN((Table1[[#This Row],[S0]]-Table1[[#This Row],[C]]+Table1[[#This Row],[P]])/Table1[[#This Row],[K]])
)</f>
        <v>#N/A</v>
      </c>
    </row>
    <row r="224" spans="1:18">
      <c r="A224">
        <v>1</v>
      </c>
      <c r="B224" t="s">
        <v>10</v>
      </c>
      <c r="C224" s="1">
        <v>46135</v>
      </c>
      <c r="D224" t="s">
        <v>17</v>
      </c>
      <c r="E224">
        <v>80</v>
      </c>
      <c r="F224" t="s">
        <v>12</v>
      </c>
      <c r="G224" t="s">
        <v>13</v>
      </c>
      <c r="H224" s="1">
        <v>46260</v>
      </c>
      <c r="I224">
        <v>0</v>
      </c>
      <c r="J224">
        <v>2.15</v>
      </c>
      <c r="K224">
        <v>0</v>
      </c>
      <c r="L224">
        <v>775</v>
      </c>
      <c r="M224">
        <v>45.3571515520389</v>
      </c>
      <c r="N224">
        <v>1.9330000000000001</v>
      </c>
      <c r="O224">
        <f>(Table1[[#This Row],[P]]&lt;&gt;0)*(Table1[[#This Row],[C]]&lt;&gt;0)</f>
        <v>0</v>
      </c>
      <c r="P224">
        <f>NETWORKDAYS(Table1[[#This Row],[ts_event]],Table1[[#This Row],[option_expiry_date]])</f>
        <v>90</v>
      </c>
      <c r="Q224">
        <f>Table1[[#This Row],[Column2]]/252</f>
        <v>0.35714285714285715</v>
      </c>
      <c r="R224" s="2" t="e">
        <f>IF(Table1[[#This Row],[CHECK2]]=0,NA(),
-(1/Table1[[#This Row],[T]])*LN((Table1[[#This Row],[S0]]-Table1[[#This Row],[C]]+Table1[[#This Row],[P]])/Table1[[#This Row],[K]])
)</f>
        <v>#N/A</v>
      </c>
    </row>
    <row r="225" spans="1:18">
      <c r="A225">
        <v>1</v>
      </c>
      <c r="B225" t="s">
        <v>10</v>
      </c>
      <c r="C225" s="1">
        <v>46135</v>
      </c>
      <c r="D225" t="s">
        <v>18</v>
      </c>
      <c r="E225">
        <v>60</v>
      </c>
      <c r="F225" t="s">
        <v>12</v>
      </c>
      <c r="G225" t="s">
        <v>13</v>
      </c>
      <c r="H225" s="1">
        <v>46290</v>
      </c>
      <c r="I225">
        <v>0</v>
      </c>
      <c r="J225">
        <v>4.2</v>
      </c>
      <c r="K225">
        <v>0</v>
      </c>
      <c r="L225">
        <v>250</v>
      </c>
      <c r="M225">
        <v>45.131509274159399</v>
      </c>
      <c r="N225">
        <v>1.9330000000000001</v>
      </c>
      <c r="O225">
        <f>(Table1[[#This Row],[P]]&lt;&gt;0)*(Table1[[#This Row],[C]]&lt;&gt;0)</f>
        <v>0</v>
      </c>
      <c r="P225">
        <f>NETWORKDAYS(Table1[[#This Row],[ts_event]],Table1[[#This Row],[option_expiry_date]])</f>
        <v>112</v>
      </c>
      <c r="Q225">
        <f>Table1[[#This Row],[Column2]]/252</f>
        <v>0.44444444444444442</v>
      </c>
      <c r="R225" s="2" t="e">
        <f>IF(Table1[[#This Row],[CHECK2]]=0,NA(),
-(1/Table1[[#This Row],[T]])*LN((Table1[[#This Row],[S0]]-Table1[[#This Row],[C]]+Table1[[#This Row],[P]])/Table1[[#This Row],[K]])
)</f>
        <v>#N/A</v>
      </c>
    </row>
    <row r="226" spans="1:18">
      <c r="A226">
        <v>1</v>
      </c>
      <c r="B226" t="s">
        <v>10</v>
      </c>
      <c r="C226" s="1">
        <v>46135</v>
      </c>
      <c r="D226" t="s">
        <v>18</v>
      </c>
      <c r="E226">
        <v>70</v>
      </c>
      <c r="F226" t="s">
        <v>12</v>
      </c>
      <c r="G226" t="s">
        <v>13</v>
      </c>
      <c r="H226" s="1">
        <v>46290</v>
      </c>
      <c r="I226">
        <v>0</v>
      </c>
      <c r="J226">
        <v>3.0249999999999999</v>
      </c>
      <c r="K226">
        <v>0</v>
      </c>
      <c r="L226">
        <v>350</v>
      </c>
      <c r="M226">
        <v>45.131509274159399</v>
      </c>
      <c r="N226">
        <v>1.9330000000000001</v>
      </c>
      <c r="O226">
        <f>(Table1[[#This Row],[P]]&lt;&gt;0)*(Table1[[#This Row],[C]]&lt;&gt;0)</f>
        <v>0</v>
      </c>
      <c r="P226">
        <f>NETWORKDAYS(Table1[[#This Row],[ts_event]],Table1[[#This Row],[option_expiry_date]])</f>
        <v>112</v>
      </c>
      <c r="Q226">
        <f>Table1[[#This Row],[Column2]]/252</f>
        <v>0.44444444444444442</v>
      </c>
      <c r="R226" s="2" t="e">
        <f>IF(Table1[[#This Row],[CHECK2]]=0,NA(),
-(1/Table1[[#This Row],[T]])*LN((Table1[[#This Row],[S0]]-Table1[[#This Row],[C]]+Table1[[#This Row],[P]])/Table1[[#This Row],[K]])
)</f>
        <v>#N/A</v>
      </c>
    </row>
    <row r="227" spans="1:18">
      <c r="A227">
        <v>1</v>
      </c>
      <c r="B227" t="s">
        <v>10</v>
      </c>
      <c r="C227" s="1">
        <v>46135</v>
      </c>
      <c r="D227" t="s">
        <v>21</v>
      </c>
      <c r="E227">
        <v>55</v>
      </c>
      <c r="F227" t="s">
        <v>12</v>
      </c>
      <c r="G227" t="s">
        <v>13</v>
      </c>
      <c r="H227" s="1">
        <v>46322</v>
      </c>
      <c r="I227">
        <v>0</v>
      </c>
      <c r="J227">
        <v>5.625</v>
      </c>
      <c r="K227">
        <v>0</v>
      </c>
      <c r="L227">
        <v>200</v>
      </c>
      <c r="M227">
        <v>44.860732800710103</v>
      </c>
      <c r="N227">
        <v>1.9330000000000001</v>
      </c>
      <c r="O227">
        <f>(Table1[[#This Row],[P]]&lt;&gt;0)*(Table1[[#This Row],[C]]&lt;&gt;0)</f>
        <v>0</v>
      </c>
      <c r="P227">
        <f>NETWORKDAYS(Table1[[#This Row],[ts_event]],Table1[[#This Row],[option_expiry_date]])</f>
        <v>134</v>
      </c>
      <c r="Q227">
        <f>Table1[[#This Row],[Column2]]/252</f>
        <v>0.53174603174603174</v>
      </c>
      <c r="R227" s="2" t="e">
        <f>IF(Table1[[#This Row],[CHECK2]]=0,NA(),
-(1/Table1[[#This Row],[T]])*LN((Table1[[#This Row],[S0]]-Table1[[#This Row],[C]]+Table1[[#This Row],[P]])/Table1[[#This Row],[K]])
)</f>
        <v>#N/A</v>
      </c>
    </row>
    <row r="228" spans="1:18">
      <c r="A228">
        <v>1</v>
      </c>
      <c r="B228" t="s">
        <v>10</v>
      </c>
      <c r="C228" s="1">
        <v>46135</v>
      </c>
      <c r="D228" t="s">
        <v>22</v>
      </c>
      <c r="E228">
        <v>90</v>
      </c>
      <c r="F228" t="s">
        <v>12</v>
      </c>
      <c r="G228" t="s">
        <v>13</v>
      </c>
      <c r="H228" s="1">
        <v>46442</v>
      </c>
      <c r="I228">
        <v>0</v>
      </c>
      <c r="J228">
        <v>3.62</v>
      </c>
      <c r="K228">
        <v>0</v>
      </c>
      <c r="L228">
        <v>2000</v>
      </c>
      <c r="M228">
        <v>41.744999999999997</v>
      </c>
      <c r="N228">
        <v>1.9330000000000001</v>
      </c>
      <c r="O228">
        <f>(Table1[[#This Row],[P]]&lt;&gt;0)*(Table1[[#This Row],[C]]&lt;&gt;0)</f>
        <v>0</v>
      </c>
      <c r="P228">
        <f>NETWORKDAYS(Table1[[#This Row],[ts_event]],Table1[[#This Row],[option_expiry_date]])</f>
        <v>220</v>
      </c>
      <c r="Q228">
        <f>Table1[[#This Row],[Column2]]/252</f>
        <v>0.87301587301587302</v>
      </c>
      <c r="R228" s="2" t="e">
        <f>IF(Table1[[#This Row],[CHECK2]]=0,NA(),
-(1/Table1[[#This Row],[T]])*LN((Table1[[#This Row],[S0]]-Table1[[#This Row],[C]]+Table1[[#This Row],[P]])/Table1[[#This Row],[K]])
)</f>
        <v>#N/A</v>
      </c>
    </row>
    <row r="229" spans="1:18">
      <c r="A229">
        <v>1</v>
      </c>
      <c r="B229" t="s">
        <v>10</v>
      </c>
      <c r="C229" s="1">
        <v>46135</v>
      </c>
      <c r="D229" t="s">
        <v>22</v>
      </c>
      <c r="E229">
        <v>100</v>
      </c>
      <c r="F229" t="s">
        <v>12</v>
      </c>
      <c r="G229" t="s">
        <v>13</v>
      </c>
      <c r="H229" s="1">
        <v>46442</v>
      </c>
      <c r="I229">
        <v>0</v>
      </c>
      <c r="J229">
        <v>3.11</v>
      </c>
      <c r="K229">
        <v>0</v>
      </c>
      <c r="L229">
        <v>3000</v>
      </c>
      <c r="M229">
        <v>41.744999999999997</v>
      </c>
      <c r="N229">
        <v>1.9330000000000001</v>
      </c>
      <c r="O229">
        <f>(Table1[[#This Row],[P]]&lt;&gt;0)*(Table1[[#This Row],[C]]&lt;&gt;0)</f>
        <v>0</v>
      </c>
      <c r="P229">
        <f>NETWORKDAYS(Table1[[#This Row],[ts_event]],Table1[[#This Row],[option_expiry_date]])</f>
        <v>220</v>
      </c>
      <c r="Q229">
        <f>Table1[[#This Row],[Column2]]/252</f>
        <v>0.87301587301587302</v>
      </c>
      <c r="R229" s="2" t="e">
        <f>IF(Table1[[#This Row],[CHECK2]]=0,NA(),
-(1/Table1[[#This Row],[T]])*LN((Table1[[#This Row],[S0]]-Table1[[#This Row],[C]]+Table1[[#This Row],[P]])/Table1[[#This Row],[K]])
)</f>
        <v>#N/A</v>
      </c>
    </row>
    <row r="230" spans="1:18">
      <c r="A230">
        <v>1</v>
      </c>
      <c r="B230" t="s">
        <v>10</v>
      </c>
      <c r="C230" s="1">
        <v>46136</v>
      </c>
      <c r="D230" t="s">
        <v>11</v>
      </c>
      <c r="E230">
        <v>40</v>
      </c>
      <c r="F230" t="s">
        <v>12</v>
      </c>
      <c r="G230" t="s">
        <v>13</v>
      </c>
      <c r="H230" s="1">
        <v>46136</v>
      </c>
      <c r="I230">
        <v>0.02</v>
      </c>
      <c r="J230">
        <v>0</v>
      </c>
      <c r="K230">
        <v>200</v>
      </c>
      <c r="L230">
        <v>0</v>
      </c>
      <c r="M230">
        <v>44.796876069160803</v>
      </c>
      <c r="N230">
        <v>1.9330000000000001</v>
      </c>
      <c r="O230">
        <f>(Table1[[#This Row],[P]]&lt;&gt;0)*(Table1[[#This Row],[C]]&lt;&gt;0)</f>
        <v>0</v>
      </c>
      <c r="P230">
        <f>NETWORKDAYS(Table1[[#This Row],[ts_event]],Table1[[#This Row],[option_expiry_date]])</f>
        <v>1</v>
      </c>
      <c r="Q230">
        <f>Table1[[#This Row],[Column2]]/252</f>
        <v>3.968253968253968E-3</v>
      </c>
      <c r="R230" s="2" t="e">
        <f>IF(Table1[[#This Row],[CHECK2]]=0,NA(),
-(1/Table1[[#This Row],[T]])*LN((Table1[[#This Row],[S0]]-Table1[[#This Row],[C]]+Table1[[#This Row],[P]])/Table1[[#This Row],[K]])
)</f>
        <v>#N/A</v>
      </c>
    </row>
    <row r="231" spans="1:18">
      <c r="A231">
        <v>1</v>
      </c>
      <c r="B231" t="s">
        <v>10</v>
      </c>
      <c r="C231" s="1">
        <v>46136</v>
      </c>
      <c r="D231" t="s">
        <v>11</v>
      </c>
      <c r="E231">
        <v>43</v>
      </c>
      <c r="F231" t="s">
        <v>12</v>
      </c>
      <c r="G231" t="s">
        <v>13</v>
      </c>
      <c r="H231" s="1">
        <v>46136</v>
      </c>
      <c r="I231">
        <v>0</v>
      </c>
      <c r="J231">
        <v>1.4</v>
      </c>
      <c r="K231">
        <v>0</v>
      </c>
      <c r="L231">
        <v>400</v>
      </c>
      <c r="M231">
        <v>44.796876069160803</v>
      </c>
      <c r="N231">
        <v>1.9330000000000001</v>
      </c>
      <c r="O231">
        <f>(Table1[[#This Row],[P]]&lt;&gt;0)*(Table1[[#This Row],[C]]&lt;&gt;0)</f>
        <v>0</v>
      </c>
      <c r="P231">
        <f>NETWORKDAYS(Table1[[#This Row],[ts_event]],Table1[[#This Row],[option_expiry_date]])</f>
        <v>1</v>
      </c>
      <c r="Q231">
        <f>Table1[[#This Row],[Column2]]/252</f>
        <v>3.968253968253968E-3</v>
      </c>
      <c r="R231" s="2" t="e">
        <f>IF(Table1[[#This Row],[CHECK2]]=0,NA(),
-(1/Table1[[#This Row],[T]])*LN((Table1[[#This Row],[S0]]-Table1[[#This Row],[C]]+Table1[[#This Row],[P]])/Table1[[#This Row],[K]])
)</f>
        <v>#N/A</v>
      </c>
    </row>
    <row r="232" spans="1:18">
      <c r="A232">
        <v>3</v>
      </c>
      <c r="B232" t="s">
        <v>10</v>
      </c>
      <c r="C232" s="1">
        <v>46136</v>
      </c>
      <c r="D232" t="s">
        <v>11</v>
      </c>
      <c r="E232">
        <v>44</v>
      </c>
      <c r="F232" t="s">
        <v>12</v>
      </c>
      <c r="G232" t="s">
        <v>13</v>
      </c>
      <c r="H232" s="1">
        <v>46136</v>
      </c>
      <c r="I232">
        <v>0.3</v>
      </c>
      <c r="J232">
        <v>0.5625</v>
      </c>
      <c r="K232">
        <v>40</v>
      </c>
      <c r="L232">
        <v>100</v>
      </c>
      <c r="M232">
        <v>44.796876069160803</v>
      </c>
      <c r="N232">
        <v>1.9330000000000001</v>
      </c>
      <c r="O232">
        <f>(Table1[[#This Row],[P]]&lt;&gt;0)*(Table1[[#This Row],[C]]&lt;&gt;0)</f>
        <v>1</v>
      </c>
      <c r="P232">
        <f>NETWORKDAYS(Table1[[#This Row],[ts_event]],Table1[[#This Row],[option_expiry_date]])</f>
        <v>1</v>
      </c>
      <c r="Q232">
        <f>Table1[[#This Row],[Column2]]/252</f>
        <v>3.968253968253968E-3</v>
      </c>
      <c r="R232" s="2">
        <f>IF(Table1[[#This Row],[CHECK2]]=0,NA(),
-(1/Table1[[#This Row],[T]])*LN((Table1[[#This Row],[S0]]-Table1[[#This Row],[C]]+Table1[[#This Row],[P]])/Table1[[#This Row],[K]])
)</f>
        <v>-3.0420817481170994</v>
      </c>
    </row>
    <row r="233" spans="1:18">
      <c r="A233">
        <v>4</v>
      </c>
      <c r="B233" t="s">
        <v>10</v>
      </c>
      <c r="C233" s="1">
        <v>46136</v>
      </c>
      <c r="D233" t="s">
        <v>11</v>
      </c>
      <c r="E233">
        <v>45</v>
      </c>
      <c r="F233" t="s">
        <v>12</v>
      </c>
      <c r="G233" t="s">
        <v>13</v>
      </c>
      <c r="H233" s="1">
        <v>46136</v>
      </c>
      <c r="I233">
        <v>0.50498957247132403</v>
      </c>
      <c r="J233">
        <v>0.56857954545454503</v>
      </c>
      <c r="K233">
        <v>4795</v>
      </c>
      <c r="L233">
        <v>3080</v>
      </c>
      <c r="M233">
        <v>44.796876069160803</v>
      </c>
      <c r="N233">
        <v>1.9330000000000001</v>
      </c>
      <c r="O233">
        <f>(Table1[[#This Row],[P]]&lt;&gt;0)*(Table1[[#This Row],[C]]&lt;&gt;0)</f>
        <v>1</v>
      </c>
      <c r="P233">
        <f>NETWORKDAYS(Table1[[#This Row],[ts_event]],Table1[[#This Row],[option_expiry_date]])</f>
        <v>1</v>
      </c>
      <c r="Q233">
        <f>Table1[[#This Row],[Column2]]/252</f>
        <v>3.968253968253968E-3</v>
      </c>
      <c r="R233" s="2">
        <f>IF(Table1[[#This Row],[CHECK2]]=0,NA(),
-(1/Table1[[#This Row],[T]])*LN((Table1[[#This Row],[S0]]-Table1[[#This Row],[C]]+Table1[[#This Row],[P]])/Table1[[#This Row],[K]])
)</f>
        <v>1.4980416881448968</v>
      </c>
    </row>
    <row r="234" spans="1:18">
      <c r="A234">
        <v>2</v>
      </c>
      <c r="B234" t="s">
        <v>10</v>
      </c>
      <c r="C234" s="1">
        <v>46136</v>
      </c>
      <c r="D234" t="s">
        <v>11</v>
      </c>
      <c r="E234">
        <v>46</v>
      </c>
      <c r="F234" t="s">
        <v>12</v>
      </c>
      <c r="G234" t="s">
        <v>13</v>
      </c>
      <c r="H234" s="1">
        <v>46136</v>
      </c>
      <c r="I234">
        <v>0</v>
      </c>
      <c r="J234">
        <v>0.98038277511961702</v>
      </c>
      <c r="K234">
        <v>0</v>
      </c>
      <c r="L234">
        <v>2090</v>
      </c>
      <c r="M234">
        <v>44.796876069160803</v>
      </c>
      <c r="N234">
        <v>1.9330000000000001</v>
      </c>
      <c r="O234">
        <f>(Table1[[#This Row],[P]]&lt;&gt;0)*(Table1[[#This Row],[C]]&lt;&gt;0)</f>
        <v>0</v>
      </c>
      <c r="P234">
        <f>NETWORKDAYS(Table1[[#This Row],[ts_event]],Table1[[#This Row],[option_expiry_date]])</f>
        <v>1</v>
      </c>
      <c r="Q234">
        <f>Table1[[#This Row],[Column2]]/252</f>
        <v>3.968253968253968E-3</v>
      </c>
      <c r="R234" s="2" t="e">
        <f>IF(Table1[[#This Row],[CHECK2]]=0,NA(),
-(1/Table1[[#This Row],[T]])*LN((Table1[[#This Row],[S0]]-Table1[[#This Row],[C]]+Table1[[#This Row],[P]])/Table1[[#This Row],[K]])
)</f>
        <v>#N/A</v>
      </c>
    </row>
    <row r="235" spans="1:18">
      <c r="A235">
        <v>1</v>
      </c>
      <c r="B235" t="s">
        <v>10</v>
      </c>
      <c r="C235" s="1">
        <v>46136</v>
      </c>
      <c r="D235" t="s">
        <v>11</v>
      </c>
      <c r="E235">
        <v>48</v>
      </c>
      <c r="F235" t="s">
        <v>12</v>
      </c>
      <c r="G235" t="s">
        <v>13</v>
      </c>
      <c r="H235" s="1">
        <v>46136</v>
      </c>
      <c r="I235">
        <v>0</v>
      </c>
      <c r="J235">
        <v>0.02</v>
      </c>
      <c r="K235">
        <v>0</v>
      </c>
      <c r="L235">
        <v>50</v>
      </c>
      <c r="M235">
        <v>44.796876069160803</v>
      </c>
      <c r="N235">
        <v>1.9330000000000001</v>
      </c>
      <c r="O235">
        <f>(Table1[[#This Row],[P]]&lt;&gt;0)*(Table1[[#This Row],[C]]&lt;&gt;0)</f>
        <v>0</v>
      </c>
      <c r="P235">
        <f>NETWORKDAYS(Table1[[#This Row],[ts_event]],Table1[[#This Row],[option_expiry_date]])</f>
        <v>1</v>
      </c>
      <c r="Q235">
        <f>Table1[[#This Row],[Column2]]/252</f>
        <v>3.968253968253968E-3</v>
      </c>
      <c r="R235" s="2" t="e">
        <f>IF(Table1[[#This Row],[CHECK2]]=0,NA(),
-(1/Table1[[#This Row],[T]])*LN((Table1[[#This Row],[S0]]-Table1[[#This Row],[C]]+Table1[[#This Row],[P]])/Table1[[#This Row],[K]])
)</f>
        <v>#N/A</v>
      </c>
    </row>
    <row r="236" spans="1:18">
      <c r="A236">
        <v>1</v>
      </c>
      <c r="B236" t="s">
        <v>10</v>
      </c>
      <c r="C236" s="1">
        <v>46136</v>
      </c>
      <c r="D236" t="s">
        <v>11</v>
      </c>
      <c r="E236">
        <v>50</v>
      </c>
      <c r="F236" t="s">
        <v>12</v>
      </c>
      <c r="G236" t="s">
        <v>13</v>
      </c>
      <c r="H236" s="1">
        <v>46136</v>
      </c>
      <c r="I236">
        <v>0</v>
      </c>
      <c r="J236">
        <v>0.05</v>
      </c>
      <c r="K236">
        <v>0</v>
      </c>
      <c r="L236">
        <v>200</v>
      </c>
      <c r="M236">
        <v>44.796876069160803</v>
      </c>
      <c r="N236">
        <v>1.9330000000000001</v>
      </c>
      <c r="O236">
        <f>(Table1[[#This Row],[P]]&lt;&gt;0)*(Table1[[#This Row],[C]]&lt;&gt;0)</f>
        <v>0</v>
      </c>
      <c r="P236">
        <f>NETWORKDAYS(Table1[[#This Row],[ts_event]],Table1[[#This Row],[option_expiry_date]])</f>
        <v>1</v>
      </c>
      <c r="Q236">
        <f>Table1[[#This Row],[Column2]]/252</f>
        <v>3.968253968253968E-3</v>
      </c>
      <c r="R236" s="2" t="e">
        <f>IF(Table1[[#This Row],[CHECK2]]=0,NA(),
-(1/Table1[[#This Row],[T]])*LN((Table1[[#This Row],[S0]]-Table1[[#This Row],[C]]+Table1[[#This Row],[P]])/Table1[[#This Row],[K]])
)</f>
        <v>#N/A</v>
      </c>
    </row>
    <row r="237" spans="1:18">
      <c r="A237">
        <v>1</v>
      </c>
      <c r="B237" t="s">
        <v>10</v>
      </c>
      <c r="C237" s="1">
        <v>46136</v>
      </c>
      <c r="D237" t="s">
        <v>11</v>
      </c>
      <c r="E237">
        <v>55</v>
      </c>
      <c r="F237" t="s">
        <v>12</v>
      </c>
      <c r="G237" t="s">
        <v>13</v>
      </c>
      <c r="H237" s="1">
        <v>46136</v>
      </c>
      <c r="I237">
        <v>0</v>
      </c>
      <c r="J237">
        <v>0.01</v>
      </c>
      <c r="K237">
        <v>0</v>
      </c>
      <c r="L237">
        <v>200</v>
      </c>
      <c r="M237">
        <v>44.796876069160803</v>
      </c>
      <c r="N237">
        <v>1.9330000000000001</v>
      </c>
      <c r="O237">
        <f>(Table1[[#This Row],[P]]&lt;&gt;0)*(Table1[[#This Row],[C]]&lt;&gt;0)</f>
        <v>0</v>
      </c>
      <c r="P237">
        <f>NETWORKDAYS(Table1[[#This Row],[ts_event]],Table1[[#This Row],[option_expiry_date]])</f>
        <v>1</v>
      </c>
      <c r="Q237">
        <f>Table1[[#This Row],[Column2]]/252</f>
        <v>3.968253968253968E-3</v>
      </c>
      <c r="R237" s="2" t="e">
        <f>IF(Table1[[#This Row],[CHECK2]]=0,NA(),
-(1/Table1[[#This Row],[T]])*LN((Table1[[#This Row],[S0]]-Table1[[#This Row],[C]]+Table1[[#This Row],[P]])/Table1[[#This Row],[K]])
)</f>
        <v>#N/A</v>
      </c>
    </row>
    <row r="238" spans="1:18">
      <c r="A238">
        <v>1</v>
      </c>
      <c r="B238" t="s">
        <v>10</v>
      </c>
      <c r="C238" s="1">
        <v>46136</v>
      </c>
      <c r="D238" t="s">
        <v>14</v>
      </c>
      <c r="E238">
        <v>25</v>
      </c>
      <c r="F238" t="s">
        <v>12</v>
      </c>
      <c r="G238" t="s">
        <v>13</v>
      </c>
      <c r="H238" s="1">
        <v>46169</v>
      </c>
      <c r="I238">
        <v>0.09</v>
      </c>
      <c r="J238">
        <v>0</v>
      </c>
      <c r="K238">
        <v>500</v>
      </c>
      <c r="L238">
        <v>0</v>
      </c>
      <c r="M238">
        <v>44.763651092756596</v>
      </c>
      <c r="N238">
        <v>1.9330000000000001</v>
      </c>
      <c r="O238">
        <f>(Table1[[#This Row],[P]]&lt;&gt;0)*(Table1[[#This Row],[C]]&lt;&gt;0)</f>
        <v>0</v>
      </c>
      <c r="P238">
        <f>NETWORKDAYS(Table1[[#This Row],[ts_event]],Table1[[#This Row],[option_expiry_date]])</f>
        <v>24</v>
      </c>
      <c r="Q238">
        <f>Table1[[#This Row],[Column2]]/252</f>
        <v>9.5238095238095233E-2</v>
      </c>
      <c r="R238" s="2" t="e">
        <f>IF(Table1[[#This Row],[CHECK2]]=0,NA(),
-(1/Table1[[#This Row],[T]])*LN((Table1[[#This Row],[S0]]-Table1[[#This Row],[C]]+Table1[[#This Row],[P]])/Table1[[#This Row],[K]])
)</f>
        <v>#N/A</v>
      </c>
    </row>
    <row r="239" spans="1:18">
      <c r="A239">
        <v>2</v>
      </c>
      <c r="B239" t="s">
        <v>10</v>
      </c>
      <c r="C239" s="1">
        <v>46136</v>
      </c>
      <c r="D239" t="s">
        <v>14</v>
      </c>
      <c r="E239">
        <v>26</v>
      </c>
      <c r="F239" t="s">
        <v>12</v>
      </c>
      <c r="G239" t="s">
        <v>13</v>
      </c>
      <c r="H239" s="1">
        <v>46169</v>
      </c>
      <c r="I239">
        <v>0.1108</v>
      </c>
      <c r="J239">
        <v>0</v>
      </c>
      <c r="K239">
        <v>1250</v>
      </c>
      <c r="L239">
        <v>0</v>
      </c>
      <c r="M239">
        <v>44.763651092756596</v>
      </c>
      <c r="N239">
        <v>1.9330000000000001</v>
      </c>
      <c r="O239">
        <f>(Table1[[#This Row],[P]]&lt;&gt;0)*(Table1[[#This Row],[C]]&lt;&gt;0)</f>
        <v>0</v>
      </c>
      <c r="P239">
        <f>NETWORKDAYS(Table1[[#This Row],[ts_event]],Table1[[#This Row],[option_expiry_date]])</f>
        <v>24</v>
      </c>
      <c r="Q239">
        <f>Table1[[#This Row],[Column2]]/252</f>
        <v>9.5238095238095233E-2</v>
      </c>
      <c r="R239" s="2" t="e">
        <f>IF(Table1[[#This Row],[CHECK2]]=0,NA(),
-(1/Table1[[#This Row],[T]])*LN((Table1[[#This Row],[S0]]-Table1[[#This Row],[C]]+Table1[[#This Row],[P]])/Table1[[#This Row],[K]])
)</f>
        <v>#N/A</v>
      </c>
    </row>
    <row r="240" spans="1:18">
      <c r="A240">
        <v>2</v>
      </c>
      <c r="B240" t="s">
        <v>10</v>
      </c>
      <c r="C240" s="1">
        <v>46136</v>
      </c>
      <c r="D240" t="s">
        <v>14</v>
      </c>
      <c r="E240">
        <v>30</v>
      </c>
      <c r="F240" t="s">
        <v>12</v>
      </c>
      <c r="G240" t="s">
        <v>13</v>
      </c>
      <c r="H240" s="1">
        <v>46169</v>
      </c>
      <c r="I240">
        <v>0.27065217391304303</v>
      </c>
      <c r="J240">
        <v>0</v>
      </c>
      <c r="K240">
        <v>2300</v>
      </c>
      <c r="L240">
        <v>0</v>
      </c>
      <c r="M240">
        <v>44.763651092756596</v>
      </c>
      <c r="N240">
        <v>1.9330000000000001</v>
      </c>
      <c r="O240">
        <f>(Table1[[#This Row],[P]]&lt;&gt;0)*(Table1[[#This Row],[C]]&lt;&gt;0)</f>
        <v>0</v>
      </c>
      <c r="P240">
        <f>NETWORKDAYS(Table1[[#This Row],[ts_event]],Table1[[#This Row],[option_expiry_date]])</f>
        <v>24</v>
      </c>
      <c r="Q240">
        <f>Table1[[#This Row],[Column2]]/252</f>
        <v>9.5238095238095233E-2</v>
      </c>
      <c r="R240" s="2" t="e">
        <f>IF(Table1[[#This Row],[CHECK2]]=0,NA(),
-(1/Table1[[#This Row],[T]])*LN((Table1[[#This Row],[S0]]-Table1[[#This Row],[C]]+Table1[[#This Row],[P]])/Table1[[#This Row],[K]])
)</f>
        <v>#N/A</v>
      </c>
    </row>
    <row r="241" spans="1:18">
      <c r="A241">
        <v>1</v>
      </c>
      <c r="B241" t="s">
        <v>10</v>
      </c>
      <c r="C241" s="1">
        <v>46136</v>
      </c>
      <c r="D241" t="s">
        <v>14</v>
      </c>
      <c r="E241">
        <v>34</v>
      </c>
      <c r="F241" t="s">
        <v>12</v>
      </c>
      <c r="G241" t="s">
        <v>13</v>
      </c>
      <c r="H241" s="1">
        <v>46169</v>
      </c>
      <c r="I241">
        <v>0.59</v>
      </c>
      <c r="J241">
        <v>0</v>
      </c>
      <c r="K241">
        <v>1000</v>
      </c>
      <c r="L241">
        <v>0</v>
      </c>
      <c r="M241">
        <v>44.763651092756596</v>
      </c>
      <c r="N241">
        <v>1.9330000000000001</v>
      </c>
      <c r="O241">
        <f>(Table1[[#This Row],[P]]&lt;&gt;0)*(Table1[[#This Row],[C]]&lt;&gt;0)</f>
        <v>0</v>
      </c>
      <c r="P241">
        <f>NETWORKDAYS(Table1[[#This Row],[ts_event]],Table1[[#This Row],[option_expiry_date]])</f>
        <v>24</v>
      </c>
      <c r="Q241">
        <f>Table1[[#This Row],[Column2]]/252</f>
        <v>9.5238095238095233E-2</v>
      </c>
      <c r="R241" s="2" t="e">
        <f>IF(Table1[[#This Row],[CHECK2]]=0,NA(),
-(1/Table1[[#This Row],[T]])*LN((Table1[[#This Row],[S0]]-Table1[[#This Row],[C]]+Table1[[#This Row],[P]])/Table1[[#This Row],[K]])
)</f>
        <v>#N/A</v>
      </c>
    </row>
    <row r="242" spans="1:18">
      <c r="A242">
        <v>2</v>
      </c>
      <c r="B242" t="s">
        <v>10</v>
      </c>
      <c r="C242" s="1">
        <v>46136</v>
      </c>
      <c r="D242" t="s">
        <v>14</v>
      </c>
      <c r="E242">
        <v>35</v>
      </c>
      <c r="F242" t="s">
        <v>12</v>
      </c>
      <c r="G242" t="s">
        <v>13</v>
      </c>
      <c r="H242" s="1">
        <v>46169</v>
      </c>
      <c r="I242">
        <v>0.80042394014962504</v>
      </c>
      <c r="J242">
        <v>0</v>
      </c>
      <c r="K242">
        <v>4010</v>
      </c>
      <c r="L242">
        <v>0</v>
      </c>
      <c r="M242">
        <v>44.763651092756596</v>
      </c>
      <c r="N242">
        <v>1.9330000000000001</v>
      </c>
      <c r="O242">
        <f>(Table1[[#This Row],[P]]&lt;&gt;0)*(Table1[[#This Row],[C]]&lt;&gt;0)</f>
        <v>0</v>
      </c>
      <c r="P242">
        <f>NETWORKDAYS(Table1[[#This Row],[ts_event]],Table1[[#This Row],[option_expiry_date]])</f>
        <v>24</v>
      </c>
      <c r="Q242">
        <f>Table1[[#This Row],[Column2]]/252</f>
        <v>9.5238095238095233E-2</v>
      </c>
      <c r="R242" s="2" t="e">
        <f>IF(Table1[[#This Row],[CHECK2]]=0,NA(),
-(1/Table1[[#This Row],[T]])*LN((Table1[[#This Row],[S0]]-Table1[[#This Row],[C]]+Table1[[#This Row],[P]])/Table1[[#This Row],[K]])
)</f>
        <v>#N/A</v>
      </c>
    </row>
    <row r="243" spans="1:18">
      <c r="A243">
        <v>1</v>
      </c>
      <c r="B243" t="s">
        <v>10</v>
      </c>
      <c r="C243" s="1">
        <v>46136</v>
      </c>
      <c r="D243" t="s">
        <v>14</v>
      </c>
      <c r="E243">
        <v>36</v>
      </c>
      <c r="F243" t="s">
        <v>12</v>
      </c>
      <c r="G243" t="s">
        <v>13</v>
      </c>
      <c r="H243" s="1">
        <v>46169</v>
      </c>
      <c r="I243">
        <v>1.1000000000000001</v>
      </c>
      <c r="J243">
        <v>0</v>
      </c>
      <c r="K243">
        <v>1750</v>
      </c>
      <c r="L243">
        <v>0</v>
      </c>
      <c r="M243">
        <v>44.763651092756596</v>
      </c>
      <c r="N243">
        <v>1.9330000000000001</v>
      </c>
      <c r="O243">
        <f>(Table1[[#This Row],[P]]&lt;&gt;0)*(Table1[[#This Row],[C]]&lt;&gt;0)</f>
        <v>0</v>
      </c>
      <c r="P243">
        <f>NETWORKDAYS(Table1[[#This Row],[ts_event]],Table1[[#This Row],[option_expiry_date]])</f>
        <v>24</v>
      </c>
      <c r="Q243">
        <f>Table1[[#This Row],[Column2]]/252</f>
        <v>9.5238095238095233E-2</v>
      </c>
      <c r="R243" s="2" t="e">
        <f>IF(Table1[[#This Row],[CHECK2]]=0,NA(),
-(1/Table1[[#This Row],[T]])*LN((Table1[[#This Row],[S0]]-Table1[[#This Row],[C]]+Table1[[#This Row],[P]])/Table1[[#This Row],[K]])
)</f>
        <v>#N/A</v>
      </c>
    </row>
    <row r="244" spans="1:18">
      <c r="A244">
        <v>2</v>
      </c>
      <c r="B244" t="s">
        <v>10</v>
      </c>
      <c r="C244" s="1">
        <v>46136</v>
      </c>
      <c r="D244" t="s">
        <v>14</v>
      </c>
      <c r="E244">
        <v>37</v>
      </c>
      <c r="F244" t="s">
        <v>12</v>
      </c>
      <c r="G244" t="s">
        <v>13</v>
      </c>
      <c r="H244" s="1">
        <v>46169</v>
      </c>
      <c r="I244">
        <v>1.4410714285714199</v>
      </c>
      <c r="J244">
        <v>0</v>
      </c>
      <c r="K244">
        <v>1400</v>
      </c>
      <c r="L244">
        <v>0</v>
      </c>
      <c r="M244">
        <v>44.763651092756596</v>
      </c>
      <c r="N244">
        <v>1.9330000000000001</v>
      </c>
      <c r="O244">
        <f>(Table1[[#This Row],[P]]&lt;&gt;0)*(Table1[[#This Row],[C]]&lt;&gt;0)</f>
        <v>0</v>
      </c>
      <c r="P244">
        <f>NETWORKDAYS(Table1[[#This Row],[ts_event]],Table1[[#This Row],[option_expiry_date]])</f>
        <v>24</v>
      </c>
      <c r="Q244">
        <f>Table1[[#This Row],[Column2]]/252</f>
        <v>9.5238095238095233E-2</v>
      </c>
      <c r="R244" s="2" t="e">
        <f>IF(Table1[[#This Row],[CHECK2]]=0,NA(),
-(1/Table1[[#This Row],[T]])*LN((Table1[[#This Row],[S0]]-Table1[[#This Row],[C]]+Table1[[#This Row],[P]])/Table1[[#This Row],[K]])
)</f>
        <v>#N/A</v>
      </c>
    </row>
    <row r="245" spans="1:18">
      <c r="A245">
        <v>1</v>
      </c>
      <c r="B245" t="s">
        <v>10</v>
      </c>
      <c r="C245" s="1">
        <v>46136</v>
      </c>
      <c r="D245" t="s">
        <v>14</v>
      </c>
      <c r="E245">
        <v>38</v>
      </c>
      <c r="F245" t="s">
        <v>12</v>
      </c>
      <c r="G245" t="s">
        <v>13</v>
      </c>
      <c r="H245" s="1">
        <v>46169</v>
      </c>
      <c r="I245">
        <v>1.6</v>
      </c>
      <c r="J245">
        <v>0</v>
      </c>
      <c r="K245">
        <v>730</v>
      </c>
      <c r="L245">
        <v>0</v>
      </c>
      <c r="M245">
        <v>44.763651092756596</v>
      </c>
      <c r="N245">
        <v>1.9330000000000001</v>
      </c>
      <c r="O245">
        <f>(Table1[[#This Row],[P]]&lt;&gt;0)*(Table1[[#This Row],[C]]&lt;&gt;0)</f>
        <v>0</v>
      </c>
      <c r="P245">
        <f>NETWORKDAYS(Table1[[#This Row],[ts_event]],Table1[[#This Row],[option_expiry_date]])</f>
        <v>24</v>
      </c>
      <c r="Q245">
        <f>Table1[[#This Row],[Column2]]/252</f>
        <v>9.5238095238095233E-2</v>
      </c>
      <c r="R245" s="2" t="e">
        <f>IF(Table1[[#This Row],[CHECK2]]=0,NA(),
-(1/Table1[[#This Row],[T]])*LN((Table1[[#This Row],[S0]]-Table1[[#This Row],[C]]+Table1[[#This Row],[P]])/Table1[[#This Row],[K]])
)</f>
        <v>#N/A</v>
      </c>
    </row>
    <row r="246" spans="1:18">
      <c r="A246">
        <v>1</v>
      </c>
      <c r="B246" t="s">
        <v>10</v>
      </c>
      <c r="C246" s="1">
        <v>46136</v>
      </c>
      <c r="D246" t="s">
        <v>14</v>
      </c>
      <c r="E246">
        <v>39</v>
      </c>
      <c r="F246" t="s">
        <v>12</v>
      </c>
      <c r="G246" t="s">
        <v>13</v>
      </c>
      <c r="H246" s="1">
        <v>46169</v>
      </c>
      <c r="I246">
        <v>2.1</v>
      </c>
      <c r="J246">
        <v>0</v>
      </c>
      <c r="K246">
        <v>975</v>
      </c>
      <c r="L246">
        <v>0</v>
      </c>
      <c r="M246">
        <v>44.763651092756596</v>
      </c>
      <c r="N246">
        <v>1.9330000000000001</v>
      </c>
      <c r="O246">
        <f>(Table1[[#This Row],[P]]&lt;&gt;0)*(Table1[[#This Row],[C]]&lt;&gt;0)</f>
        <v>0</v>
      </c>
      <c r="P246">
        <f>NETWORKDAYS(Table1[[#This Row],[ts_event]],Table1[[#This Row],[option_expiry_date]])</f>
        <v>24</v>
      </c>
      <c r="Q246">
        <f>Table1[[#This Row],[Column2]]/252</f>
        <v>9.5238095238095233E-2</v>
      </c>
      <c r="R246" s="2" t="e">
        <f>IF(Table1[[#This Row],[CHECK2]]=0,NA(),
-(1/Table1[[#This Row],[T]])*LN((Table1[[#This Row],[S0]]-Table1[[#This Row],[C]]+Table1[[#This Row],[P]])/Table1[[#This Row],[K]])
)</f>
        <v>#N/A</v>
      </c>
    </row>
    <row r="247" spans="1:18">
      <c r="A247">
        <v>3</v>
      </c>
      <c r="B247" t="s">
        <v>10</v>
      </c>
      <c r="C247" s="1">
        <v>46136</v>
      </c>
      <c r="D247" t="s">
        <v>14</v>
      </c>
      <c r="E247">
        <v>40</v>
      </c>
      <c r="F247" t="s">
        <v>12</v>
      </c>
      <c r="G247" t="s">
        <v>13</v>
      </c>
      <c r="H247" s="1">
        <v>46169</v>
      </c>
      <c r="I247">
        <v>2.3602739726027302</v>
      </c>
      <c r="J247">
        <v>7.15</v>
      </c>
      <c r="K247">
        <v>1825</v>
      </c>
      <c r="L247">
        <v>3600</v>
      </c>
      <c r="M247">
        <v>44.763651092756596</v>
      </c>
      <c r="N247">
        <v>1.9330000000000001</v>
      </c>
      <c r="O247">
        <f>(Table1[[#This Row],[P]]&lt;&gt;0)*(Table1[[#This Row],[C]]&lt;&gt;0)</f>
        <v>1</v>
      </c>
      <c r="P247">
        <f>NETWORKDAYS(Table1[[#This Row],[ts_event]],Table1[[#This Row],[option_expiry_date]])</f>
        <v>24</v>
      </c>
      <c r="Q247">
        <f>Table1[[#This Row],[Column2]]/252</f>
        <v>9.5238095238095233E-2</v>
      </c>
      <c r="R247" s="2">
        <f>IF(Table1[[#This Row],[CHECK2]]=0,NA(),
-(1/Table1[[#This Row],[T]])*LN((Table1[[#This Row],[S0]]-Table1[[#This Row],[C]]+Table1[[#This Row],[P]])/Table1[[#This Row],[K]])
)</f>
        <v>6.8469022423219275E-3</v>
      </c>
    </row>
    <row r="248" spans="1:18">
      <c r="A248">
        <v>1</v>
      </c>
      <c r="B248" t="s">
        <v>10</v>
      </c>
      <c r="C248" s="1">
        <v>46136</v>
      </c>
      <c r="D248" t="s">
        <v>14</v>
      </c>
      <c r="E248">
        <v>41</v>
      </c>
      <c r="F248" t="s">
        <v>12</v>
      </c>
      <c r="G248" t="s">
        <v>13</v>
      </c>
      <c r="H248" s="1">
        <v>46169</v>
      </c>
      <c r="I248">
        <v>2.8</v>
      </c>
      <c r="J248">
        <v>0</v>
      </c>
      <c r="K248">
        <v>1050</v>
      </c>
      <c r="L248">
        <v>0</v>
      </c>
      <c r="M248">
        <v>44.763651092756596</v>
      </c>
      <c r="N248">
        <v>1.9330000000000001</v>
      </c>
      <c r="O248">
        <f>(Table1[[#This Row],[P]]&lt;&gt;0)*(Table1[[#This Row],[C]]&lt;&gt;0)</f>
        <v>0</v>
      </c>
      <c r="P248">
        <f>NETWORKDAYS(Table1[[#This Row],[ts_event]],Table1[[#This Row],[option_expiry_date]])</f>
        <v>24</v>
      </c>
      <c r="Q248">
        <f>Table1[[#This Row],[Column2]]/252</f>
        <v>9.5238095238095233E-2</v>
      </c>
      <c r="R248" s="2" t="e">
        <f>IF(Table1[[#This Row],[CHECK2]]=0,NA(),
-(1/Table1[[#This Row],[T]])*LN((Table1[[#This Row],[S0]]-Table1[[#This Row],[C]]+Table1[[#This Row],[P]])/Table1[[#This Row],[K]])
)</f>
        <v>#N/A</v>
      </c>
    </row>
    <row r="249" spans="1:18">
      <c r="A249">
        <v>1</v>
      </c>
      <c r="B249" t="s">
        <v>10</v>
      </c>
      <c r="C249" s="1">
        <v>46136</v>
      </c>
      <c r="D249" t="s">
        <v>14</v>
      </c>
      <c r="E249">
        <v>42</v>
      </c>
      <c r="F249" t="s">
        <v>12</v>
      </c>
      <c r="G249" t="s">
        <v>13</v>
      </c>
      <c r="H249" s="1">
        <v>46169</v>
      </c>
      <c r="I249">
        <v>3.2749999999999999</v>
      </c>
      <c r="J249">
        <v>0</v>
      </c>
      <c r="K249">
        <v>65</v>
      </c>
      <c r="L249">
        <v>0</v>
      </c>
      <c r="M249">
        <v>44.763651092756596</v>
      </c>
      <c r="N249">
        <v>1.9330000000000001</v>
      </c>
      <c r="O249">
        <f>(Table1[[#This Row],[P]]&lt;&gt;0)*(Table1[[#This Row],[C]]&lt;&gt;0)</f>
        <v>0</v>
      </c>
      <c r="P249">
        <f>NETWORKDAYS(Table1[[#This Row],[ts_event]],Table1[[#This Row],[option_expiry_date]])</f>
        <v>24</v>
      </c>
      <c r="Q249">
        <f>Table1[[#This Row],[Column2]]/252</f>
        <v>9.5238095238095233E-2</v>
      </c>
      <c r="R249" s="2" t="e">
        <f>IF(Table1[[#This Row],[CHECK2]]=0,NA(),
-(1/Table1[[#This Row],[T]])*LN((Table1[[#This Row],[S0]]-Table1[[#This Row],[C]]+Table1[[#This Row],[P]])/Table1[[#This Row],[K]])
)</f>
        <v>#N/A</v>
      </c>
    </row>
    <row r="250" spans="1:18">
      <c r="A250">
        <v>1</v>
      </c>
      <c r="B250" t="s">
        <v>10</v>
      </c>
      <c r="C250" s="1">
        <v>46136</v>
      </c>
      <c r="D250" t="s">
        <v>14</v>
      </c>
      <c r="E250">
        <v>43</v>
      </c>
      <c r="F250" t="s">
        <v>12</v>
      </c>
      <c r="G250" t="s">
        <v>13</v>
      </c>
      <c r="H250" s="1">
        <v>46169</v>
      </c>
      <c r="I250">
        <v>4.2750000000000004</v>
      </c>
      <c r="J250">
        <v>0</v>
      </c>
      <c r="K250">
        <v>200</v>
      </c>
      <c r="L250">
        <v>0</v>
      </c>
      <c r="M250">
        <v>44.763651092756596</v>
      </c>
      <c r="N250">
        <v>1.9330000000000001</v>
      </c>
      <c r="O250">
        <f>(Table1[[#This Row],[P]]&lt;&gt;0)*(Table1[[#This Row],[C]]&lt;&gt;0)</f>
        <v>0</v>
      </c>
      <c r="P250">
        <f>NETWORKDAYS(Table1[[#This Row],[ts_event]],Table1[[#This Row],[option_expiry_date]])</f>
        <v>24</v>
      </c>
      <c r="Q250">
        <f>Table1[[#This Row],[Column2]]/252</f>
        <v>9.5238095238095233E-2</v>
      </c>
      <c r="R250" s="2" t="e">
        <f>IF(Table1[[#This Row],[CHECK2]]=0,NA(),
-(1/Table1[[#This Row],[T]])*LN((Table1[[#This Row],[S0]]-Table1[[#This Row],[C]]+Table1[[#This Row],[P]])/Table1[[#This Row],[K]])
)</f>
        <v>#N/A</v>
      </c>
    </row>
    <row r="251" spans="1:18">
      <c r="A251">
        <v>2</v>
      </c>
      <c r="B251" t="s">
        <v>10</v>
      </c>
      <c r="C251" s="1">
        <v>46136</v>
      </c>
      <c r="D251" t="s">
        <v>14</v>
      </c>
      <c r="E251">
        <v>45</v>
      </c>
      <c r="F251" t="s">
        <v>12</v>
      </c>
      <c r="G251" t="s">
        <v>13</v>
      </c>
      <c r="H251" s="1">
        <v>46169</v>
      </c>
      <c r="I251">
        <v>0</v>
      </c>
      <c r="J251">
        <v>4.5567415730337002</v>
      </c>
      <c r="K251">
        <v>0</v>
      </c>
      <c r="L251">
        <v>1780</v>
      </c>
      <c r="M251">
        <v>44.763651092756596</v>
      </c>
      <c r="N251">
        <v>1.9330000000000001</v>
      </c>
      <c r="O251">
        <f>(Table1[[#This Row],[P]]&lt;&gt;0)*(Table1[[#This Row],[C]]&lt;&gt;0)</f>
        <v>0</v>
      </c>
      <c r="P251">
        <f>NETWORKDAYS(Table1[[#This Row],[ts_event]],Table1[[#This Row],[option_expiry_date]])</f>
        <v>24</v>
      </c>
      <c r="Q251">
        <f>Table1[[#This Row],[Column2]]/252</f>
        <v>9.5238095238095233E-2</v>
      </c>
      <c r="R251" s="2" t="e">
        <f>IF(Table1[[#This Row],[CHECK2]]=0,NA(),
-(1/Table1[[#This Row],[T]])*LN((Table1[[#This Row],[S0]]-Table1[[#This Row],[C]]+Table1[[#This Row],[P]])/Table1[[#This Row],[K]])
)</f>
        <v>#N/A</v>
      </c>
    </row>
    <row r="252" spans="1:18">
      <c r="A252">
        <v>1</v>
      </c>
      <c r="B252" t="s">
        <v>10</v>
      </c>
      <c r="C252" s="1">
        <v>46136</v>
      </c>
      <c r="D252" t="s">
        <v>14</v>
      </c>
      <c r="E252">
        <v>48</v>
      </c>
      <c r="F252" t="s">
        <v>12</v>
      </c>
      <c r="G252" t="s">
        <v>13</v>
      </c>
      <c r="H252" s="1">
        <v>46169</v>
      </c>
      <c r="I252">
        <v>0</v>
      </c>
      <c r="J252">
        <v>4</v>
      </c>
      <c r="K252">
        <v>0</v>
      </c>
      <c r="L252">
        <v>100</v>
      </c>
      <c r="M252">
        <v>44.763651092756596</v>
      </c>
      <c r="N252">
        <v>1.9330000000000001</v>
      </c>
      <c r="O252">
        <f>(Table1[[#This Row],[P]]&lt;&gt;0)*(Table1[[#This Row],[C]]&lt;&gt;0)</f>
        <v>0</v>
      </c>
      <c r="P252">
        <f>NETWORKDAYS(Table1[[#This Row],[ts_event]],Table1[[#This Row],[option_expiry_date]])</f>
        <v>24</v>
      </c>
      <c r="Q252">
        <f>Table1[[#This Row],[Column2]]/252</f>
        <v>9.5238095238095233E-2</v>
      </c>
      <c r="R252" s="2" t="e">
        <f>IF(Table1[[#This Row],[CHECK2]]=0,NA(),
-(1/Table1[[#This Row],[T]])*LN((Table1[[#This Row],[S0]]-Table1[[#This Row],[C]]+Table1[[#This Row],[P]])/Table1[[#This Row],[K]])
)</f>
        <v>#N/A</v>
      </c>
    </row>
    <row r="253" spans="1:18">
      <c r="A253">
        <v>2</v>
      </c>
      <c r="B253" t="s">
        <v>10</v>
      </c>
      <c r="C253" s="1">
        <v>46136</v>
      </c>
      <c r="D253" t="s">
        <v>14</v>
      </c>
      <c r="E253">
        <v>50</v>
      </c>
      <c r="F253" t="s">
        <v>12</v>
      </c>
      <c r="G253" t="s">
        <v>13</v>
      </c>
      <c r="H253" s="1">
        <v>46169</v>
      </c>
      <c r="I253">
        <v>0</v>
      </c>
      <c r="J253">
        <v>3.1076335877862502</v>
      </c>
      <c r="K253">
        <v>0</v>
      </c>
      <c r="L253">
        <v>9825</v>
      </c>
      <c r="M253">
        <v>44.763651092756596</v>
      </c>
      <c r="N253">
        <v>1.9330000000000001</v>
      </c>
      <c r="O253">
        <f>(Table1[[#This Row],[P]]&lt;&gt;0)*(Table1[[#This Row],[C]]&lt;&gt;0)</f>
        <v>0</v>
      </c>
      <c r="P253">
        <f>NETWORKDAYS(Table1[[#This Row],[ts_event]],Table1[[#This Row],[option_expiry_date]])</f>
        <v>24</v>
      </c>
      <c r="Q253">
        <f>Table1[[#This Row],[Column2]]/252</f>
        <v>9.5238095238095233E-2</v>
      </c>
      <c r="R253" s="2" t="e">
        <f>IF(Table1[[#This Row],[CHECK2]]=0,NA(),
-(1/Table1[[#This Row],[T]])*LN((Table1[[#This Row],[S0]]-Table1[[#This Row],[C]]+Table1[[#This Row],[P]])/Table1[[#This Row],[K]])
)</f>
        <v>#N/A</v>
      </c>
    </row>
    <row r="254" spans="1:18">
      <c r="A254">
        <v>2</v>
      </c>
      <c r="B254" t="s">
        <v>10</v>
      </c>
      <c r="C254" s="1">
        <v>46136</v>
      </c>
      <c r="D254" t="s">
        <v>14</v>
      </c>
      <c r="E254">
        <v>55</v>
      </c>
      <c r="F254" t="s">
        <v>12</v>
      </c>
      <c r="G254" t="s">
        <v>13</v>
      </c>
      <c r="H254" s="1">
        <v>46169</v>
      </c>
      <c r="I254">
        <v>0</v>
      </c>
      <c r="J254">
        <v>2.3986885245901601</v>
      </c>
      <c r="K254">
        <v>0</v>
      </c>
      <c r="L254">
        <v>610</v>
      </c>
      <c r="M254">
        <v>44.763651092756596</v>
      </c>
      <c r="N254">
        <v>1.9330000000000001</v>
      </c>
      <c r="O254">
        <f>(Table1[[#This Row],[P]]&lt;&gt;0)*(Table1[[#This Row],[C]]&lt;&gt;0)</f>
        <v>0</v>
      </c>
      <c r="P254">
        <f>NETWORKDAYS(Table1[[#This Row],[ts_event]],Table1[[#This Row],[option_expiry_date]])</f>
        <v>24</v>
      </c>
      <c r="Q254">
        <f>Table1[[#This Row],[Column2]]/252</f>
        <v>9.5238095238095233E-2</v>
      </c>
      <c r="R254" s="2" t="e">
        <f>IF(Table1[[#This Row],[CHECK2]]=0,NA(),
-(1/Table1[[#This Row],[T]])*LN((Table1[[#This Row],[S0]]-Table1[[#This Row],[C]]+Table1[[#This Row],[P]])/Table1[[#This Row],[K]])
)</f>
        <v>#N/A</v>
      </c>
    </row>
    <row r="255" spans="1:18">
      <c r="A255">
        <v>1</v>
      </c>
      <c r="B255" t="s">
        <v>10</v>
      </c>
      <c r="C255" s="1">
        <v>46136</v>
      </c>
      <c r="D255" t="s">
        <v>14</v>
      </c>
      <c r="E255">
        <v>56</v>
      </c>
      <c r="F255" t="s">
        <v>12</v>
      </c>
      <c r="G255" t="s">
        <v>13</v>
      </c>
      <c r="H255" s="1">
        <v>46169</v>
      </c>
      <c r="I255">
        <v>0</v>
      </c>
      <c r="J255">
        <v>2.1</v>
      </c>
      <c r="K255">
        <v>0</v>
      </c>
      <c r="L255">
        <v>25</v>
      </c>
      <c r="M255">
        <v>44.763651092756596</v>
      </c>
      <c r="N255">
        <v>1.9330000000000001</v>
      </c>
      <c r="O255">
        <f>(Table1[[#This Row],[P]]&lt;&gt;0)*(Table1[[#This Row],[C]]&lt;&gt;0)</f>
        <v>0</v>
      </c>
      <c r="P255">
        <f>NETWORKDAYS(Table1[[#This Row],[ts_event]],Table1[[#This Row],[option_expiry_date]])</f>
        <v>24</v>
      </c>
      <c r="Q255">
        <f>Table1[[#This Row],[Column2]]/252</f>
        <v>9.5238095238095233E-2</v>
      </c>
      <c r="R255" s="2" t="e">
        <f>IF(Table1[[#This Row],[CHECK2]]=0,NA(),
-(1/Table1[[#This Row],[T]])*LN((Table1[[#This Row],[S0]]-Table1[[#This Row],[C]]+Table1[[#This Row],[P]])/Table1[[#This Row],[K]])
)</f>
        <v>#N/A</v>
      </c>
    </row>
    <row r="256" spans="1:18">
      <c r="A256">
        <v>2</v>
      </c>
      <c r="B256" t="s">
        <v>10</v>
      </c>
      <c r="C256" s="1">
        <v>46136</v>
      </c>
      <c r="D256" t="s">
        <v>14</v>
      </c>
      <c r="E256">
        <v>60</v>
      </c>
      <c r="F256" t="s">
        <v>12</v>
      </c>
      <c r="G256" t="s">
        <v>13</v>
      </c>
      <c r="H256" s="1">
        <v>46169</v>
      </c>
      <c r="I256">
        <v>0</v>
      </c>
      <c r="J256">
        <v>1.75</v>
      </c>
      <c r="K256">
        <v>0</v>
      </c>
      <c r="L256">
        <v>4940</v>
      </c>
      <c r="M256">
        <v>44.763651092756596</v>
      </c>
      <c r="N256">
        <v>1.9330000000000001</v>
      </c>
      <c r="O256">
        <f>(Table1[[#This Row],[P]]&lt;&gt;0)*(Table1[[#This Row],[C]]&lt;&gt;0)</f>
        <v>0</v>
      </c>
      <c r="P256">
        <f>NETWORKDAYS(Table1[[#This Row],[ts_event]],Table1[[#This Row],[option_expiry_date]])</f>
        <v>24</v>
      </c>
      <c r="Q256">
        <f>Table1[[#This Row],[Column2]]/252</f>
        <v>9.5238095238095233E-2</v>
      </c>
      <c r="R256" s="2" t="e">
        <f>IF(Table1[[#This Row],[CHECK2]]=0,NA(),
-(1/Table1[[#This Row],[T]])*LN((Table1[[#This Row],[S0]]-Table1[[#This Row],[C]]+Table1[[#This Row],[P]])/Table1[[#This Row],[K]])
)</f>
        <v>#N/A</v>
      </c>
    </row>
    <row r="257" spans="1:18">
      <c r="A257">
        <v>1</v>
      </c>
      <c r="B257" t="s">
        <v>10</v>
      </c>
      <c r="C257" s="1">
        <v>46136</v>
      </c>
      <c r="D257" t="s">
        <v>14</v>
      </c>
      <c r="E257">
        <v>65</v>
      </c>
      <c r="F257" t="s">
        <v>12</v>
      </c>
      <c r="G257" t="s">
        <v>13</v>
      </c>
      <c r="H257" s="1">
        <v>46169</v>
      </c>
      <c r="I257">
        <v>0</v>
      </c>
      <c r="J257">
        <v>1.1499999999999999</v>
      </c>
      <c r="K257">
        <v>0</v>
      </c>
      <c r="L257">
        <v>25</v>
      </c>
      <c r="M257">
        <v>44.763651092756596</v>
      </c>
      <c r="N257">
        <v>1.9330000000000001</v>
      </c>
      <c r="O257">
        <f>(Table1[[#This Row],[P]]&lt;&gt;0)*(Table1[[#This Row],[C]]&lt;&gt;0)</f>
        <v>0</v>
      </c>
      <c r="P257">
        <f>NETWORKDAYS(Table1[[#This Row],[ts_event]],Table1[[#This Row],[option_expiry_date]])</f>
        <v>24</v>
      </c>
      <c r="Q257">
        <f>Table1[[#This Row],[Column2]]/252</f>
        <v>9.5238095238095233E-2</v>
      </c>
      <c r="R257" s="2" t="e">
        <f>IF(Table1[[#This Row],[CHECK2]]=0,NA(),
-(1/Table1[[#This Row],[T]])*LN((Table1[[#This Row],[S0]]-Table1[[#This Row],[C]]+Table1[[#This Row],[P]])/Table1[[#This Row],[K]])
)</f>
        <v>#N/A</v>
      </c>
    </row>
    <row r="258" spans="1:18">
      <c r="A258">
        <v>1</v>
      </c>
      <c r="B258" t="s">
        <v>10</v>
      </c>
      <c r="C258" s="1">
        <v>46136</v>
      </c>
      <c r="D258" t="s">
        <v>14</v>
      </c>
      <c r="E258">
        <v>80</v>
      </c>
      <c r="F258" t="s">
        <v>12</v>
      </c>
      <c r="G258" t="s">
        <v>13</v>
      </c>
      <c r="H258" s="1">
        <v>46169</v>
      </c>
      <c r="I258">
        <v>0</v>
      </c>
      <c r="J258">
        <v>0.7</v>
      </c>
      <c r="K258">
        <v>0</v>
      </c>
      <c r="L258">
        <v>400</v>
      </c>
      <c r="M258">
        <v>44.763651092756596</v>
      </c>
      <c r="N258">
        <v>1.9330000000000001</v>
      </c>
      <c r="O258">
        <f>(Table1[[#This Row],[P]]&lt;&gt;0)*(Table1[[#This Row],[C]]&lt;&gt;0)</f>
        <v>0</v>
      </c>
      <c r="P258">
        <f>NETWORKDAYS(Table1[[#This Row],[ts_event]],Table1[[#This Row],[option_expiry_date]])</f>
        <v>24</v>
      </c>
      <c r="Q258">
        <f>Table1[[#This Row],[Column2]]/252</f>
        <v>9.5238095238095233E-2</v>
      </c>
      <c r="R258" s="2" t="e">
        <f>IF(Table1[[#This Row],[CHECK2]]=0,NA(),
-(1/Table1[[#This Row],[T]])*LN((Table1[[#This Row],[S0]]-Table1[[#This Row],[C]]+Table1[[#This Row],[P]])/Table1[[#This Row],[K]])
)</f>
        <v>#N/A</v>
      </c>
    </row>
    <row r="259" spans="1:18">
      <c r="A259">
        <v>1</v>
      </c>
      <c r="B259" t="s">
        <v>10</v>
      </c>
      <c r="C259" s="1">
        <v>46136</v>
      </c>
      <c r="D259" t="s">
        <v>14</v>
      </c>
      <c r="E259">
        <v>90</v>
      </c>
      <c r="F259" t="s">
        <v>12</v>
      </c>
      <c r="G259" t="s">
        <v>13</v>
      </c>
      <c r="H259" s="1">
        <v>46169</v>
      </c>
      <c r="I259">
        <v>0</v>
      </c>
      <c r="J259">
        <v>0.35</v>
      </c>
      <c r="K259">
        <v>0</v>
      </c>
      <c r="L259">
        <v>400</v>
      </c>
      <c r="M259">
        <v>44.763651092756596</v>
      </c>
      <c r="N259">
        <v>1.9330000000000001</v>
      </c>
      <c r="O259">
        <f>(Table1[[#This Row],[P]]&lt;&gt;0)*(Table1[[#This Row],[C]]&lt;&gt;0)</f>
        <v>0</v>
      </c>
      <c r="P259">
        <f>NETWORKDAYS(Table1[[#This Row],[ts_event]],Table1[[#This Row],[option_expiry_date]])</f>
        <v>24</v>
      </c>
      <c r="Q259">
        <f>Table1[[#This Row],[Column2]]/252</f>
        <v>9.5238095238095233E-2</v>
      </c>
      <c r="R259" s="2" t="e">
        <f>IF(Table1[[#This Row],[CHECK2]]=0,NA(),
-(1/Table1[[#This Row],[T]])*LN((Table1[[#This Row],[S0]]-Table1[[#This Row],[C]]+Table1[[#This Row],[P]])/Table1[[#This Row],[K]])
)</f>
        <v>#N/A</v>
      </c>
    </row>
    <row r="260" spans="1:18">
      <c r="A260">
        <v>1</v>
      </c>
      <c r="B260" t="s">
        <v>10</v>
      </c>
      <c r="C260" s="1">
        <v>46136</v>
      </c>
      <c r="D260" t="s">
        <v>15</v>
      </c>
      <c r="E260">
        <v>30</v>
      </c>
      <c r="F260" t="s">
        <v>12</v>
      </c>
      <c r="G260" t="s">
        <v>13</v>
      </c>
      <c r="H260" s="1">
        <v>46199</v>
      </c>
      <c r="I260">
        <v>0.5</v>
      </c>
      <c r="J260">
        <v>0</v>
      </c>
      <c r="K260">
        <v>50</v>
      </c>
      <c r="L260">
        <v>0</v>
      </c>
      <c r="M260">
        <v>44.877822320968498</v>
      </c>
      <c r="N260">
        <v>1.9330000000000001</v>
      </c>
      <c r="O260">
        <f>(Table1[[#This Row],[P]]&lt;&gt;0)*(Table1[[#This Row],[C]]&lt;&gt;0)</f>
        <v>0</v>
      </c>
      <c r="P260">
        <f>NETWORKDAYS(Table1[[#This Row],[ts_event]],Table1[[#This Row],[option_expiry_date]])</f>
        <v>46</v>
      </c>
      <c r="Q260">
        <f>Table1[[#This Row],[Column2]]/252</f>
        <v>0.18253968253968253</v>
      </c>
      <c r="R260" s="2" t="e">
        <f>IF(Table1[[#This Row],[CHECK2]]=0,NA(),
-(1/Table1[[#This Row],[T]])*LN((Table1[[#This Row],[S0]]-Table1[[#This Row],[C]]+Table1[[#This Row],[P]])/Table1[[#This Row],[K]])
)</f>
        <v>#N/A</v>
      </c>
    </row>
    <row r="261" spans="1:18">
      <c r="A261">
        <v>1</v>
      </c>
      <c r="B261" t="s">
        <v>10</v>
      </c>
      <c r="C261" s="1">
        <v>46136</v>
      </c>
      <c r="D261" t="s">
        <v>15</v>
      </c>
      <c r="E261">
        <v>31.5</v>
      </c>
      <c r="F261" t="s">
        <v>12</v>
      </c>
      <c r="G261" t="s">
        <v>13</v>
      </c>
      <c r="H261" s="1">
        <v>46199</v>
      </c>
      <c r="I261">
        <v>0.73</v>
      </c>
      <c r="J261">
        <v>0</v>
      </c>
      <c r="K261">
        <v>10</v>
      </c>
      <c r="L261">
        <v>0</v>
      </c>
      <c r="M261">
        <v>44.877822320968498</v>
      </c>
      <c r="N261">
        <v>1.9330000000000001</v>
      </c>
      <c r="O261">
        <f>(Table1[[#This Row],[P]]&lt;&gt;0)*(Table1[[#This Row],[C]]&lt;&gt;0)</f>
        <v>0</v>
      </c>
      <c r="P261">
        <f>NETWORKDAYS(Table1[[#This Row],[ts_event]],Table1[[#This Row],[option_expiry_date]])</f>
        <v>46</v>
      </c>
      <c r="Q261">
        <f>Table1[[#This Row],[Column2]]/252</f>
        <v>0.18253968253968253</v>
      </c>
      <c r="R261" s="2" t="e">
        <f>IF(Table1[[#This Row],[CHECK2]]=0,NA(),
-(1/Table1[[#This Row],[T]])*LN((Table1[[#This Row],[S0]]-Table1[[#This Row],[C]]+Table1[[#This Row],[P]])/Table1[[#This Row],[K]])
)</f>
        <v>#N/A</v>
      </c>
    </row>
    <row r="262" spans="1:18">
      <c r="A262">
        <v>1</v>
      </c>
      <c r="B262" t="s">
        <v>10</v>
      </c>
      <c r="C262" s="1">
        <v>46136</v>
      </c>
      <c r="D262" t="s">
        <v>15</v>
      </c>
      <c r="E262">
        <v>35</v>
      </c>
      <c r="F262" t="s">
        <v>12</v>
      </c>
      <c r="G262" t="s">
        <v>13</v>
      </c>
      <c r="H262" s="1">
        <v>46199</v>
      </c>
      <c r="I262">
        <v>1.6950000000000001</v>
      </c>
      <c r="J262">
        <v>0</v>
      </c>
      <c r="K262">
        <v>100</v>
      </c>
      <c r="L262">
        <v>0</v>
      </c>
      <c r="M262">
        <v>44.877822320968498</v>
      </c>
      <c r="N262">
        <v>1.9330000000000001</v>
      </c>
      <c r="O262">
        <f>(Table1[[#This Row],[P]]&lt;&gt;0)*(Table1[[#This Row],[C]]&lt;&gt;0)</f>
        <v>0</v>
      </c>
      <c r="P262">
        <f>NETWORKDAYS(Table1[[#This Row],[ts_event]],Table1[[#This Row],[option_expiry_date]])</f>
        <v>46</v>
      </c>
      <c r="Q262">
        <f>Table1[[#This Row],[Column2]]/252</f>
        <v>0.18253968253968253</v>
      </c>
      <c r="R262" s="2" t="e">
        <f>IF(Table1[[#This Row],[CHECK2]]=0,NA(),
-(1/Table1[[#This Row],[T]])*LN((Table1[[#This Row],[S0]]-Table1[[#This Row],[C]]+Table1[[#This Row],[P]])/Table1[[#This Row],[K]])
)</f>
        <v>#N/A</v>
      </c>
    </row>
    <row r="263" spans="1:18">
      <c r="A263">
        <v>1</v>
      </c>
      <c r="B263" t="s">
        <v>10</v>
      </c>
      <c r="C263" s="1">
        <v>46136</v>
      </c>
      <c r="D263" t="s">
        <v>15</v>
      </c>
      <c r="E263">
        <v>45</v>
      </c>
      <c r="F263" t="s">
        <v>12</v>
      </c>
      <c r="G263" t="s">
        <v>13</v>
      </c>
      <c r="H263" s="1">
        <v>46199</v>
      </c>
      <c r="I263">
        <v>0</v>
      </c>
      <c r="J263">
        <v>5.9249999999999998</v>
      </c>
      <c r="K263">
        <v>0</v>
      </c>
      <c r="L263">
        <v>250</v>
      </c>
      <c r="M263">
        <v>44.877822320968498</v>
      </c>
      <c r="N263">
        <v>1.9330000000000001</v>
      </c>
      <c r="O263">
        <f>(Table1[[#This Row],[P]]&lt;&gt;0)*(Table1[[#This Row],[C]]&lt;&gt;0)</f>
        <v>0</v>
      </c>
      <c r="P263">
        <f>NETWORKDAYS(Table1[[#This Row],[ts_event]],Table1[[#This Row],[option_expiry_date]])</f>
        <v>46</v>
      </c>
      <c r="Q263">
        <f>Table1[[#This Row],[Column2]]/252</f>
        <v>0.18253968253968253</v>
      </c>
      <c r="R263" s="2" t="e">
        <f>IF(Table1[[#This Row],[CHECK2]]=0,NA(),
-(1/Table1[[#This Row],[T]])*LN((Table1[[#This Row],[S0]]-Table1[[#This Row],[C]]+Table1[[#This Row],[P]])/Table1[[#This Row],[K]])
)</f>
        <v>#N/A</v>
      </c>
    </row>
    <row r="264" spans="1:18">
      <c r="A264">
        <v>1</v>
      </c>
      <c r="B264" t="s">
        <v>10</v>
      </c>
      <c r="C264" s="1">
        <v>46136</v>
      </c>
      <c r="D264" t="s">
        <v>15</v>
      </c>
      <c r="E264">
        <v>48</v>
      </c>
      <c r="F264" t="s">
        <v>12</v>
      </c>
      <c r="G264" t="s">
        <v>13</v>
      </c>
      <c r="H264" s="1">
        <v>46199</v>
      </c>
      <c r="I264">
        <v>0</v>
      </c>
      <c r="J264">
        <v>4.6500000000000004</v>
      </c>
      <c r="K264">
        <v>0</v>
      </c>
      <c r="L264">
        <v>100</v>
      </c>
      <c r="M264">
        <v>44.877822320968498</v>
      </c>
      <c r="N264">
        <v>1.9330000000000001</v>
      </c>
      <c r="O264">
        <f>(Table1[[#This Row],[P]]&lt;&gt;0)*(Table1[[#This Row],[C]]&lt;&gt;0)</f>
        <v>0</v>
      </c>
      <c r="P264">
        <f>NETWORKDAYS(Table1[[#This Row],[ts_event]],Table1[[#This Row],[option_expiry_date]])</f>
        <v>46</v>
      </c>
      <c r="Q264">
        <f>Table1[[#This Row],[Column2]]/252</f>
        <v>0.18253968253968253</v>
      </c>
      <c r="R264" s="2" t="e">
        <f>IF(Table1[[#This Row],[CHECK2]]=0,NA(),
-(1/Table1[[#This Row],[T]])*LN((Table1[[#This Row],[S0]]-Table1[[#This Row],[C]]+Table1[[#This Row],[P]])/Table1[[#This Row],[K]])
)</f>
        <v>#N/A</v>
      </c>
    </row>
    <row r="265" spans="1:18">
      <c r="A265">
        <v>1</v>
      </c>
      <c r="B265" t="s">
        <v>10</v>
      </c>
      <c r="C265" s="1">
        <v>46136</v>
      </c>
      <c r="D265" t="s">
        <v>15</v>
      </c>
      <c r="E265">
        <v>51</v>
      </c>
      <c r="F265" t="s">
        <v>12</v>
      </c>
      <c r="G265" t="s">
        <v>13</v>
      </c>
      <c r="H265" s="1">
        <v>46199</v>
      </c>
      <c r="I265">
        <v>0</v>
      </c>
      <c r="J265">
        <v>4.49</v>
      </c>
      <c r="K265">
        <v>0</v>
      </c>
      <c r="L265">
        <v>5</v>
      </c>
      <c r="M265">
        <v>44.877822320968498</v>
      </c>
      <c r="N265">
        <v>1.9330000000000001</v>
      </c>
      <c r="O265">
        <f>(Table1[[#This Row],[P]]&lt;&gt;0)*(Table1[[#This Row],[C]]&lt;&gt;0)</f>
        <v>0</v>
      </c>
      <c r="P265">
        <f>NETWORKDAYS(Table1[[#This Row],[ts_event]],Table1[[#This Row],[option_expiry_date]])</f>
        <v>46</v>
      </c>
      <c r="Q265">
        <f>Table1[[#This Row],[Column2]]/252</f>
        <v>0.18253968253968253</v>
      </c>
      <c r="R265" s="2" t="e">
        <f>IF(Table1[[#This Row],[CHECK2]]=0,NA(),
-(1/Table1[[#This Row],[T]])*LN((Table1[[#This Row],[S0]]-Table1[[#This Row],[C]]+Table1[[#This Row],[P]])/Table1[[#This Row],[K]])
)</f>
        <v>#N/A</v>
      </c>
    </row>
    <row r="266" spans="1:18">
      <c r="A266">
        <v>1</v>
      </c>
      <c r="B266" t="s">
        <v>10</v>
      </c>
      <c r="C266" s="1">
        <v>46136</v>
      </c>
      <c r="D266" t="s">
        <v>15</v>
      </c>
      <c r="E266">
        <v>55</v>
      </c>
      <c r="F266" t="s">
        <v>12</v>
      </c>
      <c r="G266" t="s">
        <v>13</v>
      </c>
      <c r="H266" s="1">
        <v>46199</v>
      </c>
      <c r="I266">
        <v>0</v>
      </c>
      <c r="J266">
        <v>3.47</v>
      </c>
      <c r="K266">
        <v>0</v>
      </c>
      <c r="L266">
        <v>1850</v>
      </c>
      <c r="M266">
        <v>44.877822320968498</v>
      </c>
      <c r="N266">
        <v>1.9330000000000001</v>
      </c>
      <c r="O266">
        <f>(Table1[[#This Row],[P]]&lt;&gt;0)*(Table1[[#This Row],[C]]&lt;&gt;0)</f>
        <v>0</v>
      </c>
      <c r="P266">
        <f>NETWORKDAYS(Table1[[#This Row],[ts_event]],Table1[[#This Row],[option_expiry_date]])</f>
        <v>46</v>
      </c>
      <c r="Q266">
        <f>Table1[[#This Row],[Column2]]/252</f>
        <v>0.18253968253968253</v>
      </c>
      <c r="R266" s="2" t="e">
        <f>IF(Table1[[#This Row],[CHECK2]]=0,NA(),
-(1/Table1[[#This Row],[T]])*LN((Table1[[#This Row],[S0]]-Table1[[#This Row],[C]]+Table1[[#This Row],[P]])/Table1[[#This Row],[K]])
)</f>
        <v>#N/A</v>
      </c>
    </row>
    <row r="267" spans="1:18">
      <c r="A267">
        <v>2</v>
      </c>
      <c r="B267" t="s">
        <v>10</v>
      </c>
      <c r="C267" s="1">
        <v>46136</v>
      </c>
      <c r="D267" t="s">
        <v>15</v>
      </c>
      <c r="E267">
        <v>60</v>
      </c>
      <c r="F267" t="s">
        <v>12</v>
      </c>
      <c r="G267" t="s">
        <v>13</v>
      </c>
      <c r="H267" s="1">
        <v>46199</v>
      </c>
      <c r="I267">
        <v>0</v>
      </c>
      <c r="J267">
        <v>2.77093896713615</v>
      </c>
      <c r="K267">
        <v>0</v>
      </c>
      <c r="L267">
        <v>2130</v>
      </c>
      <c r="M267">
        <v>44.877822320968498</v>
      </c>
      <c r="N267">
        <v>1.9330000000000001</v>
      </c>
      <c r="O267">
        <f>(Table1[[#This Row],[P]]&lt;&gt;0)*(Table1[[#This Row],[C]]&lt;&gt;0)</f>
        <v>0</v>
      </c>
      <c r="P267">
        <f>NETWORKDAYS(Table1[[#This Row],[ts_event]],Table1[[#This Row],[option_expiry_date]])</f>
        <v>46</v>
      </c>
      <c r="Q267">
        <f>Table1[[#This Row],[Column2]]/252</f>
        <v>0.18253968253968253</v>
      </c>
      <c r="R267" s="2" t="e">
        <f>IF(Table1[[#This Row],[CHECK2]]=0,NA(),
-(1/Table1[[#This Row],[T]])*LN((Table1[[#This Row],[S0]]-Table1[[#This Row],[C]]+Table1[[#This Row],[P]])/Table1[[#This Row],[K]])
)</f>
        <v>#N/A</v>
      </c>
    </row>
    <row r="268" spans="1:18">
      <c r="A268">
        <v>1</v>
      </c>
      <c r="B268" t="s">
        <v>10</v>
      </c>
      <c r="C268" s="1">
        <v>46136</v>
      </c>
      <c r="D268" t="s">
        <v>15</v>
      </c>
      <c r="E268">
        <v>65</v>
      </c>
      <c r="F268" t="s">
        <v>12</v>
      </c>
      <c r="G268" t="s">
        <v>13</v>
      </c>
      <c r="H268" s="1">
        <v>46199</v>
      </c>
      <c r="I268">
        <v>0</v>
      </c>
      <c r="J268">
        <v>2.17</v>
      </c>
      <c r="K268">
        <v>0</v>
      </c>
      <c r="L268">
        <v>1350</v>
      </c>
      <c r="M268">
        <v>44.877822320968498</v>
      </c>
      <c r="N268">
        <v>1.9330000000000001</v>
      </c>
      <c r="O268">
        <f>(Table1[[#This Row],[P]]&lt;&gt;0)*(Table1[[#This Row],[C]]&lt;&gt;0)</f>
        <v>0</v>
      </c>
      <c r="P268">
        <f>NETWORKDAYS(Table1[[#This Row],[ts_event]],Table1[[#This Row],[option_expiry_date]])</f>
        <v>46</v>
      </c>
      <c r="Q268">
        <f>Table1[[#This Row],[Column2]]/252</f>
        <v>0.18253968253968253</v>
      </c>
      <c r="R268" s="2" t="e">
        <f>IF(Table1[[#This Row],[CHECK2]]=0,NA(),
-(1/Table1[[#This Row],[T]])*LN((Table1[[#This Row],[S0]]-Table1[[#This Row],[C]]+Table1[[#This Row],[P]])/Table1[[#This Row],[K]])
)</f>
        <v>#N/A</v>
      </c>
    </row>
    <row r="269" spans="1:18">
      <c r="A269">
        <v>1</v>
      </c>
      <c r="B269" t="s">
        <v>10</v>
      </c>
      <c r="C269" s="1">
        <v>46136</v>
      </c>
      <c r="D269" t="s">
        <v>15</v>
      </c>
      <c r="E269">
        <v>70</v>
      </c>
      <c r="F269" t="s">
        <v>12</v>
      </c>
      <c r="G269" t="s">
        <v>13</v>
      </c>
      <c r="H269" s="1">
        <v>46199</v>
      </c>
      <c r="I269">
        <v>0</v>
      </c>
      <c r="J269">
        <v>1.82</v>
      </c>
      <c r="K269">
        <v>0</v>
      </c>
      <c r="L269">
        <v>1250</v>
      </c>
      <c r="M269">
        <v>44.877822320968498</v>
      </c>
      <c r="N269">
        <v>1.9330000000000001</v>
      </c>
      <c r="O269">
        <f>(Table1[[#This Row],[P]]&lt;&gt;0)*(Table1[[#This Row],[C]]&lt;&gt;0)</f>
        <v>0</v>
      </c>
      <c r="P269">
        <f>NETWORKDAYS(Table1[[#This Row],[ts_event]],Table1[[#This Row],[option_expiry_date]])</f>
        <v>46</v>
      </c>
      <c r="Q269">
        <f>Table1[[#This Row],[Column2]]/252</f>
        <v>0.18253968253968253</v>
      </c>
      <c r="R269" s="2" t="e">
        <f>IF(Table1[[#This Row],[CHECK2]]=0,NA(),
-(1/Table1[[#This Row],[T]])*LN((Table1[[#This Row],[S0]]-Table1[[#This Row],[C]]+Table1[[#This Row],[P]])/Table1[[#This Row],[K]])
)</f>
        <v>#N/A</v>
      </c>
    </row>
    <row r="270" spans="1:18">
      <c r="A270">
        <v>1</v>
      </c>
      <c r="B270" t="s">
        <v>10</v>
      </c>
      <c r="C270" s="1">
        <v>46136</v>
      </c>
      <c r="D270" t="s">
        <v>16</v>
      </c>
      <c r="E270">
        <v>30</v>
      </c>
      <c r="F270" t="s">
        <v>12</v>
      </c>
      <c r="G270" t="s">
        <v>13</v>
      </c>
      <c r="H270" s="1">
        <v>46230</v>
      </c>
      <c r="I270">
        <v>0.69</v>
      </c>
      <c r="J270">
        <v>0</v>
      </c>
      <c r="K270">
        <v>1800</v>
      </c>
      <c r="L270">
        <v>0</v>
      </c>
      <c r="M270">
        <v>44.889858887381202</v>
      </c>
      <c r="N270">
        <v>1.9330000000000001</v>
      </c>
      <c r="O270">
        <f>(Table1[[#This Row],[P]]&lt;&gt;0)*(Table1[[#This Row],[C]]&lt;&gt;0)</f>
        <v>0</v>
      </c>
      <c r="P270">
        <f>NETWORKDAYS(Table1[[#This Row],[ts_event]],Table1[[#This Row],[option_expiry_date]])</f>
        <v>67</v>
      </c>
      <c r="Q270">
        <f>Table1[[#This Row],[Column2]]/252</f>
        <v>0.26587301587301587</v>
      </c>
      <c r="R270" s="2" t="e">
        <f>IF(Table1[[#This Row],[CHECK2]]=0,NA(),
-(1/Table1[[#This Row],[T]])*LN((Table1[[#This Row],[S0]]-Table1[[#This Row],[C]]+Table1[[#This Row],[P]])/Table1[[#This Row],[K]])
)</f>
        <v>#N/A</v>
      </c>
    </row>
    <row r="271" spans="1:18">
      <c r="A271">
        <v>1</v>
      </c>
      <c r="B271" t="s">
        <v>10</v>
      </c>
      <c r="C271" s="1">
        <v>46136</v>
      </c>
      <c r="D271" t="s">
        <v>16</v>
      </c>
      <c r="E271">
        <v>51</v>
      </c>
      <c r="F271" t="s">
        <v>12</v>
      </c>
      <c r="G271" t="s">
        <v>13</v>
      </c>
      <c r="H271" s="1">
        <v>46230</v>
      </c>
      <c r="I271">
        <v>0</v>
      </c>
      <c r="J271">
        <v>7.73</v>
      </c>
      <c r="K271">
        <v>0</v>
      </c>
      <c r="L271">
        <v>100</v>
      </c>
      <c r="M271">
        <v>44.889858887381202</v>
      </c>
      <c r="N271">
        <v>1.9330000000000001</v>
      </c>
      <c r="O271">
        <f>(Table1[[#This Row],[P]]&lt;&gt;0)*(Table1[[#This Row],[C]]&lt;&gt;0)</f>
        <v>0</v>
      </c>
      <c r="P271">
        <f>NETWORKDAYS(Table1[[#This Row],[ts_event]],Table1[[#This Row],[option_expiry_date]])</f>
        <v>67</v>
      </c>
      <c r="Q271">
        <f>Table1[[#This Row],[Column2]]/252</f>
        <v>0.26587301587301587</v>
      </c>
      <c r="R271" s="2" t="e">
        <f>IF(Table1[[#This Row],[CHECK2]]=0,NA(),
-(1/Table1[[#This Row],[T]])*LN((Table1[[#This Row],[S0]]-Table1[[#This Row],[C]]+Table1[[#This Row],[P]])/Table1[[#This Row],[K]])
)</f>
        <v>#N/A</v>
      </c>
    </row>
    <row r="272" spans="1:18">
      <c r="A272">
        <v>1</v>
      </c>
      <c r="B272" t="s">
        <v>10</v>
      </c>
      <c r="C272" s="1">
        <v>46136</v>
      </c>
      <c r="D272" t="s">
        <v>16</v>
      </c>
      <c r="E272">
        <v>56</v>
      </c>
      <c r="F272" t="s">
        <v>12</v>
      </c>
      <c r="G272" t="s">
        <v>13</v>
      </c>
      <c r="H272" s="1">
        <v>46230</v>
      </c>
      <c r="I272">
        <v>0</v>
      </c>
      <c r="J272">
        <v>6.72</v>
      </c>
      <c r="K272">
        <v>0</v>
      </c>
      <c r="L272">
        <v>100</v>
      </c>
      <c r="M272">
        <v>44.889858887381202</v>
      </c>
      <c r="N272">
        <v>1.9330000000000001</v>
      </c>
      <c r="O272">
        <f>(Table1[[#This Row],[P]]&lt;&gt;0)*(Table1[[#This Row],[C]]&lt;&gt;0)</f>
        <v>0</v>
      </c>
      <c r="P272">
        <f>NETWORKDAYS(Table1[[#This Row],[ts_event]],Table1[[#This Row],[option_expiry_date]])</f>
        <v>67</v>
      </c>
      <c r="Q272">
        <f>Table1[[#This Row],[Column2]]/252</f>
        <v>0.26587301587301587</v>
      </c>
      <c r="R272" s="2" t="e">
        <f>IF(Table1[[#This Row],[CHECK2]]=0,NA(),
-(1/Table1[[#This Row],[T]])*LN((Table1[[#This Row],[S0]]-Table1[[#This Row],[C]]+Table1[[#This Row],[P]])/Table1[[#This Row],[K]])
)</f>
        <v>#N/A</v>
      </c>
    </row>
    <row r="273" spans="1:18">
      <c r="A273">
        <v>1</v>
      </c>
      <c r="B273" t="s">
        <v>10</v>
      </c>
      <c r="C273" s="1">
        <v>46136</v>
      </c>
      <c r="D273" t="s">
        <v>17</v>
      </c>
      <c r="E273">
        <v>25</v>
      </c>
      <c r="F273" t="s">
        <v>12</v>
      </c>
      <c r="G273" t="s">
        <v>13</v>
      </c>
      <c r="H273" s="1">
        <v>46260</v>
      </c>
      <c r="I273">
        <v>0.375</v>
      </c>
      <c r="J273">
        <v>0</v>
      </c>
      <c r="K273">
        <v>300</v>
      </c>
      <c r="L273">
        <v>0</v>
      </c>
      <c r="M273">
        <v>44.8929394983953</v>
      </c>
      <c r="N273">
        <v>1.9330000000000001</v>
      </c>
      <c r="O273">
        <f>(Table1[[#This Row],[P]]&lt;&gt;0)*(Table1[[#This Row],[C]]&lt;&gt;0)</f>
        <v>0</v>
      </c>
      <c r="P273">
        <f>NETWORKDAYS(Table1[[#This Row],[ts_event]],Table1[[#This Row],[option_expiry_date]])</f>
        <v>89</v>
      </c>
      <c r="Q273">
        <f>Table1[[#This Row],[Column2]]/252</f>
        <v>0.3531746031746032</v>
      </c>
      <c r="R273" s="2" t="e">
        <f>IF(Table1[[#This Row],[CHECK2]]=0,NA(),
-(1/Table1[[#This Row],[T]])*LN((Table1[[#This Row],[S0]]-Table1[[#This Row],[C]]+Table1[[#This Row],[P]])/Table1[[#This Row],[K]])
)</f>
        <v>#N/A</v>
      </c>
    </row>
    <row r="274" spans="1:18">
      <c r="A274">
        <v>2</v>
      </c>
      <c r="B274" t="s">
        <v>10</v>
      </c>
      <c r="C274" s="1">
        <v>46136</v>
      </c>
      <c r="D274" t="s">
        <v>17</v>
      </c>
      <c r="E274">
        <v>65</v>
      </c>
      <c r="F274" t="s">
        <v>12</v>
      </c>
      <c r="G274" t="s">
        <v>13</v>
      </c>
      <c r="H274" s="1">
        <v>46260</v>
      </c>
      <c r="I274">
        <v>0</v>
      </c>
      <c r="J274">
        <v>3.70399999999999</v>
      </c>
      <c r="K274">
        <v>0</v>
      </c>
      <c r="L274">
        <v>250</v>
      </c>
      <c r="M274">
        <v>44.8929394983953</v>
      </c>
      <c r="N274">
        <v>1.9330000000000001</v>
      </c>
      <c r="O274">
        <f>(Table1[[#This Row],[P]]&lt;&gt;0)*(Table1[[#This Row],[C]]&lt;&gt;0)</f>
        <v>0</v>
      </c>
      <c r="P274">
        <f>NETWORKDAYS(Table1[[#This Row],[ts_event]],Table1[[#This Row],[option_expiry_date]])</f>
        <v>89</v>
      </c>
      <c r="Q274">
        <f>Table1[[#This Row],[Column2]]/252</f>
        <v>0.3531746031746032</v>
      </c>
      <c r="R274" s="2" t="e">
        <f>IF(Table1[[#This Row],[CHECK2]]=0,NA(),
-(1/Table1[[#This Row],[T]])*LN((Table1[[#This Row],[S0]]-Table1[[#This Row],[C]]+Table1[[#This Row],[P]])/Table1[[#This Row],[K]])
)</f>
        <v>#N/A</v>
      </c>
    </row>
    <row r="275" spans="1:18">
      <c r="A275">
        <v>1</v>
      </c>
      <c r="B275" t="s">
        <v>10</v>
      </c>
      <c r="C275" s="1">
        <v>46136</v>
      </c>
      <c r="D275" t="s">
        <v>17</v>
      </c>
      <c r="E275">
        <v>80</v>
      </c>
      <c r="F275" t="s">
        <v>12</v>
      </c>
      <c r="G275" t="s">
        <v>13</v>
      </c>
      <c r="H275" s="1">
        <v>46260</v>
      </c>
      <c r="I275">
        <v>0</v>
      </c>
      <c r="J275">
        <v>2.4750000000000001</v>
      </c>
      <c r="K275">
        <v>0</v>
      </c>
      <c r="L275">
        <v>200</v>
      </c>
      <c r="M275">
        <v>44.8929394983953</v>
      </c>
      <c r="N275">
        <v>1.9330000000000001</v>
      </c>
      <c r="O275">
        <f>(Table1[[#This Row],[P]]&lt;&gt;0)*(Table1[[#This Row],[C]]&lt;&gt;0)</f>
        <v>0</v>
      </c>
      <c r="P275">
        <f>NETWORKDAYS(Table1[[#This Row],[ts_event]],Table1[[#This Row],[option_expiry_date]])</f>
        <v>89</v>
      </c>
      <c r="Q275">
        <f>Table1[[#This Row],[Column2]]/252</f>
        <v>0.3531746031746032</v>
      </c>
      <c r="R275" s="2" t="e">
        <f>IF(Table1[[#This Row],[CHECK2]]=0,NA(),
-(1/Table1[[#This Row],[T]])*LN((Table1[[#This Row],[S0]]-Table1[[#This Row],[C]]+Table1[[#This Row],[P]])/Table1[[#This Row],[K]])
)</f>
        <v>#N/A</v>
      </c>
    </row>
    <row r="276" spans="1:18">
      <c r="A276">
        <v>1</v>
      </c>
      <c r="B276" t="s">
        <v>10</v>
      </c>
      <c r="C276" s="1">
        <v>46136</v>
      </c>
      <c r="D276" t="s">
        <v>18</v>
      </c>
      <c r="E276">
        <v>30</v>
      </c>
      <c r="F276" t="s">
        <v>12</v>
      </c>
      <c r="G276" t="s">
        <v>13</v>
      </c>
      <c r="H276" s="1">
        <v>46290</v>
      </c>
      <c r="I276">
        <v>1.175</v>
      </c>
      <c r="J276">
        <v>0</v>
      </c>
      <c r="K276">
        <v>1130</v>
      </c>
      <c r="L276">
        <v>0</v>
      </c>
      <c r="M276">
        <v>44.708301731860203</v>
      </c>
      <c r="N276">
        <v>1.9330000000000001</v>
      </c>
      <c r="O276">
        <f>(Table1[[#This Row],[P]]&lt;&gt;0)*(Table1[[#This Row],[C]]&lt;&gt;0)</f>
        <v>0</v>
      </c>
      <c r="P276">
        <f>NETWORKDAYS(Table1[[#This Row],[ts_event]],Table1[[#This Row],[option_expiry_date]])</f>
        <v>111</v>
      </c>
      <c r="Q276">
        <f>Table1[[#This Row],[Column2]]/252</f>
        <v>0.44047619047619047</v>
      </c>
      <c r="R276" s="2" t="e">
        <f>IF(Table1[[#This Row],[CHECK2]]=0,NA(),
-(1/Table1[[#This Row],[T]])*LN((Table1[[#This Row],[S0]]-Table1[[#This Row],[C]]+Table1[[#This Row],[P]])/Table1[[#This Row],[K]])
)</f>
        <v>#N/A</v>
      </c>
    </row>
    <row r="277" spans="1:18">
      <c r="A277">
        <v>1</v>
      </c>
      <c r="B277" t="s">
        <v>10</v>
      </c>
      <c r="C277" s="1">
        <v>46136</v>
      </c>
      <c r="D277" t="s">
        <v>20</v>
      </c>
      <c r="E277">
        <v>30</v>
      </c>
      <c r="F277" t="s">
        <v>12</v>
      </c>
      <c r="G277" t="s">
        <v>13</v>
      </c>
      <c r="H277" s="1">
        <v>46352</v>
      </c>
      <c r="I277">
        <v>1.57</v>
      </c>
      <c r="J277">
        <v>0</v>
      </c>
      <c r="K277">
        <v>472</v>
      </c>
      <c r="L277">
        <v>0</v>
      </c>
      <c r="M277">
        <v>44.442632726776999</v>
      </c>
      <c r="N277">
        <v>1.9330000000000001</v>
      </c>
      <c r="O277">
        <f>(Table1[[#This Row],[P]]&lt;&gt;0)*(Table1[[#This Row],[C]]&lt;&gt;0)</f>
        <v>0</v>
      </c>
      <c r="P277">
        <f>NETWORKDAYS(Table1[[#This Row],[ts_event]],Table1[[#This Row],[option_expiry_date]])</f>
        <v>155</v>
      </c>
      <c r="Q277">
        <f>Table1[[#This Row],[Column2]]/252</f>
        <v>0.61507936507936511</v>
      </c>
      <c r="R277" s="2" t="e">
        <f>IF(Table1[[#This Row],[CHECK2]]=0,NA(),
-(1/Table1[[#This Row],[T]])*LN((Table1[[#This Row],[S0]]-Table1[[#This Row],[C]]+Table1[[#This Row],[P]])/Table1[[#This Row],[K]])
)</f>
        <v>#N/A</v>
      </c>
    </row>
    <row r="278" spans="1:18">
      <c r="A278">
        <v>1</v>
      </c>
      <c r="B278" t="s">
        <v>10</v>
      </c>
      <c r="C278" s="1">
        <v>46136</v>
      </c>
      <c r="D278" t="s">
        <v>20</v>
      </c>
      <c r="E278">
        <v>35</v>
      </c>
      <c r="F278" t="s">
        <v>12</v>
      </c>
      <c r="G278" t="s">
        <v>13</v>
      </c>
      <c r="H278" s="1">
        <v>46352</v>
      </c>
      <c r="I278">
        <v>3.8</v>
      </c>
      <c r="J278">
        <v>0</v>
      </c>
      <c r="K278">
        <v>457</v>
      </c>
      <c r="L278">
        <v>0</v>
      </c>
      <c r="M278">
        <v>44.442632726776999</v>
      </c>
      <c r="N278">
        <v>1.9330000000000001</v>
      </c>
      <c r="O278">
        <f>(Table1[[#This Row],[P]]&lt;&gt;0)*(Table1[[#This Row],[C]]&lt;&gt;0)</f>
        <v>0</v>
      </c>
      <c r="P278">
        <f>NETWORKDAYS(Table1[[#This Row],[ts_event]],Table1[[#This Row],[option_expiry_date]])</f>
        <v>155</v>
      </c>
      <c r="Q278">
        <f>Table1[[#This Row],[Column2]]/252</f>
        <v>0.61507936507936511</v>
      </c>
      <c r="R278" s="2" t="e">
        <f>IF(Table1[[#This Row],[CHECK2]]=0,NA(),
-(1/Table1[[#This Row],[T]])*LN((Table1[[#This Row],[S0]]-Table1[[#This Row],[C]]+Table1[[#This Row],[P]])/Table1[[#This Row],[K]])
)</f>
        <v>#N/A</v>
      </c>
    </row>
    <row r="279" spans="1:18">
      <c r="A279">
        <v>2</v>
      </c>
      <c r="B279" t="s">
        <v>10</v>
      </c>
      <c r="C279" s="1">
        <v>46136</v>
      </c>
      <c r="D279" t="s">
        <v>20</v>
      </c>
      <c r="E279">
        <v>45</v>
      </c>
      <c r="F279" t="s">
        <v>12</v>
      </c>
      <c r="G279" t="s">
        <v>13</v>
      </c>
      <c r="H279" s="1">
        <v>46352</v>
      </c>
      <c r="I279">
        <v>9.6</v>
      </c>
      <c r="J279">
        <v>8.26</v>
      </c>
      <c r="K279">
        <v>200</v>
      </c>
      <c r="L279">
        <v>389</v>
      </c>
      <c r="M279">
        <v>44.442632726776999</v>
      </c>
      <c r="N279">
        <v>1.9330000000000001</v>
      </c>
      <c r="O279">
        <f>(Table1[[#This Row],[P]]&lt;&gt;0)*(Table1[[#This Row],[C]]&lt;&gt;0)</f>
        <v>1</v>
      </c>
      <c r="P279">
        <f>NETWORKDAYS(Table1[[#This Row],[ts_event]],Table1[[#This Row],[option_expiry_date]])</f>
        <v>155</v>
      </c>
      <c r="Q279">
        <f>Table1[[#This Row],[Column2]]/252</f>
        <v>0.61507936507936511</v>
      </c>
      <c r="R279" s="2">
        <f>IF(Table1[[#This Row],[CHECK2]]=0,NA(),
-(1/Table1[[#This Row],[T]])*LN((Table1[[#This Row],[S0]]-Table1[[#This Row],[C]]+Table1[[#This Row],[P]])/Table1[[#This Row],[K]])
)</f>
        <v>-2.803269351835139E-2</v>
      </c>
    </row>
    <row r="280" spans="1:18">
      <c r="A280">
        <v>1</v>
      </c>
      <c r="B280" t="s">
        <v>10</v>
      </c>
      <c r="C280" s="1">
        <v>46136</v>
      </c>
      <c r="D280" t="s">
        <v>20</v>
      </c>
      <c r="E280">
        <v>60</v>
      </c>
      <c r="F280" t="s">
        <v>12</v>
      </c>
      <c r="G280" t="s">
        <v>13</v>
      </c>
      <c r="H280" s="1">
        <v>46352</v>
      </c>
      <c r="I280">
        <v>0</v>
      </c>
      <c r="J280">
        <v>5.78</v>
      </c>
      <c r="K280">
        <v>0</v>
      </c>
      <c r="L280">
        <v>784</v>
      </c>
      <c r="M280">
        <v>44.442632726776999</v>
      </c>
      <c r="N280">
        <v>1.9330000000000001</v>
      </c>
      <c r="O280">
        <f>(Table1[[#This Row],[P]]&lt;&gt;0)*(Table1[[#This Row],[C]]&lt;&gt;0)</f>
        <v>0</v>
      </c>
      <c r="P280">
        <f>NETWORKDAYS(Table1[[#This Row],[ts_event]],Table1[[#This Row],[option_expiry_date]])</f>
        <v>155</v>
      </c>
      <c r="Q280">
        <f>Table1[[#This Row],[Column2]]/252</f>
        <v>0.61507936507936511</v>
      </c>
      <c r="R280" s="2" t="e">
        <f>IF(Table1[[#This Row],[CHECK2]]=0,NA(),
-(1/Table1[[#This Row],[T]])*LN((Table1[[#This Row],[S0]]-Table1[[#This Row],[C]]+Table1[[#This Row],[P]])/Table1[[#This Row],[K]])
)</f>
        <v>#N/A</v>
      </c>
    </row>
    <row r="281" spans="1:18">
      <c r="A281">
        <v>1</v>
      </c>
      <c r="B281" t="s">
        <v>10</v>
      </c>
      <c r="C281" s="1">
        <v>46136</v>
      </c>
      <c r="D281" t="s">
        <v>20</v>
      </c>
      <c r="E281">
        <v>70</v>
      </c>
      <c r="F281" t="s">
        <v>12</v>
      </c>
      <c r="G281" t="s">
        <v>13</v>
      </c>
      <c r="H281" s="1">
        <v>46352</v>
      </c>
      <c r="I281">
        <v>0</v>
      </c>
      <c r="J281">
        <v>4.58</v>
      </c>
      <c r="K281">
        <v>0</v>
      </c>
      <c r="L281">
        <v>175</v>
      </c>
      <c r="M281">
        <v>44.442632726776999</v>
      </c>
      <c r="N281">
        <v>1.9330000000000001</v>
      </c>
      <c r="O281">
        <f>(Table1[[#This Row],[P]]&lt;&gt;0)*(Table1[[#This Row],[C]]&lt;&gt;0)</f>
        <v>0</v>
      </c>
      <c r="P281">
        <f>NETWORKDAYS(Table1[[#This Row],[ts_event]],Table1[[#This Row],[option_expiry_date]])</f>
        <v>155</v>
      </c>
      <c r="Q281">
        <f>Table1[[#This Row],[Column2]]/252</f>
        <v>0.61507936507936511</v>
      </c>
      <c r="R281" s="2" t="e">
        <f>IF(Table1[[#This Row],[CHECK2]]=0,NA(),
-(1/Table1[[#This Row],[T]])*LN((Table1[[#This Row],[S0]]-Table1[[#This Row],[C]]+Table1[[#This Row],[P]])/Table1[[#This Row],[K]])
)</f>
        <v>#N/A</v>
      </c>
    </row>
    <row r="282" spans="1:18">
      <c r="A282">
        <v>1</v>
      </c>
      <c r="B282" t="s">
        <v>10</v>
      </c>
      <c r="C282" s="1">
        <v>46136</v>
      </c>
      <c r="D282" t="s">
        <v>20</v>
      </c>
      <c r="E282">
        <v>85</v>
      </c>
      <c r="F282" t="s">
        <v>12</v>
      </c>
      <c r="G282" t="s">
        <v>13</v>
      </c>
      <c r="H282" s="1">
        <v>46352</v>
      </c>
      <c r="I282">
        <v>0</v>
      </c>
      <c r="J282">
        <v>3.02</v>
      </c>
      <c r="K282">
        <v>0</v>
      </c>
      <c r="L282">
        <v>10</v>
      </c>
      <c r="M282">
        <v>44.442632726776999</v>
      </c>
      <c r="N282">
        <v>1.9330000000000001</v>
      </c>
      <c r="O282">
        <f>(Table1[[#This Row],[P]]&lt;&gt;0)*(Table1[[#This Row],[C]]&lt;&gt;0)</f>
        <v>0</v>
      </c>
      <c r="P282">
        <f>NETWORKDAYS(Table1[[#This Row],[ts_event]],Table1[[#This Row],[option_expiry_date]])</f>
        <v>155</v>
      </c>
      <c r="Q282">
        <f>Table1[[#This Row],[Column2]]/252</f>
        <v>0.61507936507936511</v>
      </c>
      <c r="R282" s="2" t="e">
        <f>IF(Table1[[#This Row],[CHECK2]]=0,NA(),
-(1/Table1[[#This Row],[T]])*LN((Table1[[#This Row],[S0]]-Table1[[#This Row],[C]]+Table1[[#This Row],[P]])/Table1[[#This Row],[K]])
)</f>
        <v>#N/A</v>
      </c>
    </row>
    <row r="283" spans="1:18">
      <c r="A283">
        <v>1</v>
      </c>
      <c r="B283" t="s">
        <v>10</v>
      </c>
      <c r="C283" s="1">
        <v>46136</v>
      </c>
      <c r="D283" t="s">
        <v>19</v>
      </c>
      <c r="E283">
        <v>45</v>
      </c>
      <c r="F283" t="s">
        <v>12</v>
      </c>
      <c r="G283" t="s">
        <v>13</v>
      </c>
      <c r="H283" s="1">
        <v>46380</v>
      </c>
      <c r="I283">
        <v>10.425000000000001</v>
      </c>
      <c r="J283">
        <v>0</v>
      </c>
      <c r="K283">
        <v>200</v>
      </c>
      <c r="L283">
        <v>0</v>
      </c>
      <c r="M283">
        <v>44.235318627450901</v>
      </c>
      <c r="N283">
        <v>1.9330000000000001</v>
      </c>
      <c r="O283">
        <f>(Table1[[#This Row],[P]]&lt;&gt;0)*(Table1[[#This Row],[C]]&lt;&gt;0)</f>
        <v>0</v>
      </c>
      <c r="P283">
        <f>NETWORKDAYS(Table1[[#This Row],[ts_event]],Table1[[#This Row],[option_expiry_date]])</f>
        <v>175</v>
      </c>
      <c r="Q283">
        <f>Table1[[#This Row],[Column2]]/252</f>
        <v>0.69444444444444442</v>
      </c>
      <c r="R283" s="2" t="e">
        <f>IF(Table1[[#This Row],[CHECK2]]=0,NA(),
-(1/Table1[[#This Row],[T]])*LN((Table1[[#This Row],[S0]]-Table1[[#This Row],[C]]+Table1[[#This Row],[P]])/Table1[[#This Row],[K]])
)</f>
        <v>#N/A</v>
      </c>
    </row>
    <row r="284" spans="1:18">
      <c r="A284">
        <v>1</v>
      </c>
      <c r="B284" t="s">
        <v>10</v>
      </c>
      <c r="C284" s="1">
        <v>46136</v>
      </c>
      <c r="D284" t="s">
        <v>22</v>
      </c>
      <c r="E284">
        <v>90</v>
      </c>
      <c r="F284" t="s">
        <v>12</v>
      </c>
      <c r="G284" t="s">
        <v>13</v>
      </c>
      <c r="H284" s="1">
        <v>46442</v>
      </c>
      <c r="I284">
        <v>0</v>
      </c>
      <c r="J284">
        <v>4.12</v>
      </c>
      <c r="K284">
        <v>0</v>
      </c>
      <c r="L284">
        <v>200</v>
      </c>
      <c r="M284">
        <v>42.354999999999997</v>
      </c>
      <c r="N284">
        <v>1.9330000000000001</v>
      </c>
      <c r="O284">
        <f>(Table1[[#This Row],[P]]&lt;&gt;0)*(Table1[[#This Row],[C]]&lt;&gt;0)</f>
        <v>0</v>
      </c>
      <c r="P284">
        <f>NETWORKDAYS(Table1[[#This Row],[ts_event]],Table1[[#This Row],[option_expiry_date]])</f>
        <v>219</v>
      </c>
      <c r="Q284">
        <f>Table1[[#This Row],[Column2]]/252</f>
        <v>0.86904761904761907</v>
      </c>
      <c r="R284" s="2" t="e">
        <f>IF(Table1[[#This Row],[CHECK2]]=0,NA(),
-(1/Table1[[#This Row],[T]])*LN((Table1[[#This Row],[S0]]-Table1[[#This Row],[C]]+Table1[[#This Row],[P]])/Table1[[#This Row],[K]])
)</f>
        <v>#N/A</v>
      </c>
    </row>
    <row r="285" spans="1:18">
      <c r="A285">
        <v>1</v>
      </c>
      <c r="B285" t="s">
        <v>10</v>
      </c>
      <c r="C285" s="1">
        <v>46136</v>
      </c>
      <c r="D285" t="s">
        <v>22</v>
      </c>
      <c r="E285">
        <v>100</v>
      </c>
      <c r="F285" t="s">
        <v>12</v>
      </c>
      <c r="G285" t="s">
        <v>13</v>
      </c>
      <c r="H285" s="1">
        <v>46442</v>
      </c>
      <c r="I285">
        <v>0</v>
      </c>
      <c r="J285">
        <v>3.6</v>
      </c>
      <c r="K285">
        <v>0</v>
      </c>
      <c r="L285">
        <v>325</v>
      </c>
      <c r="M285">
        <v>42.354999999999997</v>
      </c>
      <c r="N285">
        <v>1.9330000000000001</v>
      </c>
      <c r="O285">
        <f>(Table1[[#This Row],[P]]&lt;&gt;0)*(Table1[[#This Row],[C]]&lt;&gt;0)</f>
        <v>0</v>
      </c>
      <c r="P285">
        <f>NETWORKDAYS(Table1[[#This Row],[ts_event]],Table1[[#This Row],[option_expiry_date]])</f>
        <v>219</v>
      </c>
      <c r="Q285">
        <f>Table1[[#This Row],[Column2]]/252</f>
        <v>0.86904761904761907</v>
      </c>
      <c r="R285" s="2" t="e">
        <f>IF(Table1[[#This Row],[CHECK2]]=0,NA(),
-(1/Table1[[#This Row],[T]])*LN((Table1[[#This Row],[S0]]-Table1[[#This Row],[C]]+Table1[[#This Row],[P]])/Table1[[#This Row],[K]])
)</f>
        <v>#N/A</v>
      </c>
    </row>
    <row r="286" spans="1:18">
      <c r="A286">
        <v>1</v>
      </c>
      <c r="B286" t="s">
        <v>10</v>
      </c>
      <c r="C286" s="1">
        <v>46139</v>
      </c>
      <c r="D286" t="s">
        <v>14</v>
      </c>
      <c r="E286">
        <v>27</v>
      </c>
      <c r="F286" t="s">
        <v>12</v>
      </c>
      <c r="G286" t="s">
        <v>13</v>
      </c>
      <c r="H286" s="1">
        <v>46169</v>
      </c>
      <c r="I286">
        <v>0.08</v>
      </c>
      <c r="J286">
        <v>0</v>
      </c>
      <c r="K286">
        <v>1600</v>
      </c>
      <c r="L286">
        <v>0</v>
      </c>
      <c r="M286">
        <v>44.3697397709984</v>
      </c>
      <c r="N286">
        <v>1.9319999999999999</v>
      </c>
      <c r="O286">
        <f>(Table1[[#This Row],[P]]&lt;&gt;0)*(Table1[[#This Row],[C]]&lt;&gt;0)</f>
        <v>0</v>
      </c>
      <c r="P286">
        <f>NETWORKDAYS(Table1[[#This Row],[ts_event]],Table1[[#This Row],[option_expiry_date]])</f>
        <v>23</v>
      </c>
      <c r="Q286">
        <f>Table1[[#This Row],[Column2]]/252</f>
        <v>9.1269841269841265E-2</v>
      </c>
      <c r="R286" s="2" t="e">
        <f>IF(Table1[[#This Row],[CHECK2]]=0,NA(),
-(1/Table1[[#This Row],[T]])*LN((Table1[[#This Row],[S0]]-Table1[[#This Row],[C]]+Table1[[#This Row],[P]])/Table1[[#This Row],[K]])
)</f>
        <v>#N/A</v>
      </c>
    </row>
    <row r="287" spans="1:18">
      <c r="A287">
        <v>1</v>
      </c>
      <c r="B287" t="s">
        <v>10</v>
      </c>
      <c r="C287" s="1">
        <v>46139</v>
      </c>
      <c r="D287" t="s">
        <v>14</v>
      </c>
      <c r="E287">
        <v>31</v>
      </c>
      <c r="F287" t="s">
        <v>12</v>
      </c>
      <c r="G287" t="s">
        <v>13</v>
      </c>
      <c r="H287" s="1">
        <v>46169</v>
      </c>
      <c r="I287">
        <v>0.27</v>
      </c>
      <c r="J287">
        <v>0</v>
      </c>
      <c r="K287">
        <v>400</v>
      </c>
      <c r="L287">
        <v>0</v>
      </c>
      <c r="M287">
        <v>44.3697397709984</v>
      </c>
      <c r="N287">
        <v>1.9319999999999999</v>
      </c>
      <c r="O287">
        <f>(Table1[[#This Row],[P]]&lt;&gt;0)*(Table1[[#This Row],[C]]&lt;&gt;0)</f>
        <v>0</v>
      </c>
      <c r="P287">
        <f>NETWORKDAYS(Table1[[#This Row],[ts_event]],Table1[[#This Row],[option_expiry_date]])</f>
        <v>23</v>
      </c>
      <c r="Q287">
        <f>Table1[[#This Row],[Column2]]/252</f>
        <v>9.1269841269841265E-2</v>
      </c>
      <c r="R287" s="2" t="e">
        <f>IF(Table1[[#This Row],[CHECK2]]=0,NA(),
-(1/Table1[[#This Row],[T]])*LN((Table1[[#This Row],[S0]]-Table1[[#This Row],[C]]+Table1[[#This Row],[P]])/Table1[[#This Row],[K]])
)</f>
        <v>#N/A</v>
      </c>
    </row>
    <row r="288" spans="1:18">
      <c r="A288">
        <v>1</v>
      </c>
      <c r="B288" t="s">
        <v>10</v>
      </c>
      <c r="C288" s="1">
        <v>46139</v>
      </c>
      <c r="D288" t="s">
        <v>14</v>
      </c>
      <c r="E288">
        <v>32</v>
      </c>
      <c r="F288" t="s">
        <v>12</v>
      </c>
      <c r="G288" t="s">
        <v>13</v>
      </c>
      <c r="H288" s="1">
        <v>46169</v>
      </c>
      <c r="I288">
        <v>0.25</v>
      </c>
      <c r="J288">
        <v>0</v>
      </c>
      <c r="K288">
        <v>800</v>
      </c>
      <c r="L288">
        <v>0</v>
      </c>
      <c r="M288">
        <v>44.3697397709984</v>
      </c>
      <c r="N288">
        <v>1.9319999999999999</v>
      </c>
      <c r="O288">
        <f>(Table1[[#This Row],[P]]&lt;&gt;0)*(Table1[[#This Row],[C]]&lt;&gt;0)</f>
        <v>0</v>
      </c>
      <c r="P288">
        <f>NETWORKDAYS(Table1[[#This Row],[ts_event]],Table1[[#This Row],[option_expiry_date]])</f>
        <v>23</v>
      </c>
      <c r="Q288">
        <f>Table1[[#This Row],[Column2]]/252</f>
        <v>9.1269841269841265E-2</v>
      </c>
      <c r="R288" s="2" t="e">
        <f>IF(Table1[[#This Row],[CHECK2]]=0,NA(),
-(1/Table1[[#This Row],[T]])*LN((Table1[[#This Row],[S0]]-Table1[[#This Row],[C]]+Table1[[#This Row],[P]])/Table1[[#This Row],[K]])
)</f>
        <v>#N/A</v>
      </c>
    </row>
    <row r="289" spans="1:18">
      <c r="A289">
        <v>1</v>
      </c>
      <c r="B289" t="s">
        <v>10</v>
      </c>
      <c r="C289" s="1">
        <v>46139</v>
      </c>
      <c r="D289" t="s">
        <v>14</v>
      </c>
      <c r="E289">
        <v>33</v>
      </c>
      <c r="F289" t="s">
        <v>12</v>
      </c>
      <c r="G289" t="s">
        <v>13</v>
      </c>
      <c r="H289" s="1">
        <v>46169</v>
      </c>
      <c r="I289">
        <v>0</v>
      </c>
      <c r="J289">
        <v>11.95</v>
      </c>
      <c r="K289">
        <v>0</v>
      </c>
      <c r="L289">
        <v>50</v>
      </c>
      <c r="M289">
        <v>44.3697397709984</v>
      </c>
      <c r="N289">
        <v>1.9319999999999999</v>
      </c>
      <c r="O289">
        <f>(Table1[[#This Row],[P]]&lt;&gt;0)*(Table1[[#This Row],[C]]&lt;&gt;0)</f>
        <v>0</v>
      </c>
      <c r="P289">
        <f>NETWORKDAYS(Table1[[#This Row],[ts_event]],Table1[[#This Row],[option_expiry_date]])</f>
        <v>23</v>
      </c>
      <c r="Q289">
        <f>Table1[[#This Row],[Column2]]/252</f>
        <v>9.1269841269841265E-2</v>
      </c>
      <c r="R289" s="2" t="e">
        <f>IF(Table1[[#This Row],[CHECK2]]=0,NA(),
-(1/Table1[[#This Row],[T]])*LN((Table1[[#This Row],[S0]]-Table1[[#This Row],[C]]+Table1[[#This Row],[P]])/Table1[[#This Row],[K]])
)</f>
        <v>#N/A</v>
      </c>
    </row>
    <row r="290" spans="1:18">
      <c r="A290">
        <v>1</v>
      </c>
      <c r="B290" t="s">
        <v>10</v>
      </c>
      <c r="C290" s="1">
        <v>46139</v>
      </c>
      <c r="D290" t="s">
        <v>14</v>
      </c>
      <c r="E290">
        <v>34</v>
      </c>
      <c r="F290" t="s">
        <v>12</v>
      </c>
      <c r="G290" t="s">
        <v>13</v>
      </c>
      <c r="H290" s="1">
        <v>46169</v>
      </c>
      <c r="I290">
        <v>0.55000000000000004</v>
      </c>
      <c r="J290">
        <v>0</v>
      </c>
      <c r="K290">
        <v>400</v>
      </c>
      <c r="L290">
        <v>0</v>
      </c>
      <c r="M290">
        <v>44.3697397709984</v>
      </c>
      <c r="N290">
        <v>1.9319999999999999</v>
      </c>
      <c r="O290">
        <f>(Table1[[#This Row],[P]]&lt;&gt;0)*(Table1[[#This Row],[C]]&lt;&gt;0)</f>
        <v>0</v>
      </c>
      <c r="P290">
        <f>NETWORKDAYS(Table1[[#This Row],[ts_event]],Table1[[#This Row],[option_expiry_date]])</f>
        <v>23</v>
      </c>
      <c r="Q290">
        <f>Table1[[#This Row],[Column2]]/252</f>
        <v>9.1269841269841265E-2</v>
      </c>
      <c r="R290" s="2" t="e">
        <f>IF(Table1[[#This Row],[CHECK2]]=0,NA(),
-(1/Table1[[#This Row],[T]])*LN((Table1[[#This Row],[S0]]-Table1[[#This Row],[C]]+Table1[[#This Row],[P]])/Table1[[#This Row],[K]])
)</f>
        <v>#N/A</v>
      </c>
    </row>
    <row r="291" spans="1:18">
      <c r="A291">
        <v>2</v>
      </c>
      <c r="B291" t="s">
        <v>10</v>
      </c>
      <c r="C291" s="1">
        <v>46139</v>
      </c>
      <c r="D291" t="s">
        <v>14</v>
      </c>
      <c r="E291">
        <v>35</v>
      </c>
      <c r="F291" t="s">
        <v>12</v>
      </c>
      <c r="G291" t="s">
        <v>13</v>
      </c>
      <c r="H291" s="1">
        <v>46169</v>
      </c>
      <c r="I291">
        <v>0.63846938775510198</v>
      </c>
      <c r="J291">
        <v>0</v>
      </c>
      <c r="K291">
        <v>2450</v>
      </c>
      <c r="L291">
        <v>0</v>
      </c>
      <c r="M291">
        <v>44.3697397709984</v>
      </c>
      <c r="N291">
        <v>1.9319999999999999</v>
      </c>
      <c r="O291">
        <f>(Table1[[#This Row],[P]]&lt;&gt;0)*(Table1[[#This Row],[C]]&lt;&gt;0)</f>
        <v>0</v>
      </c>
      <c r="P291">
        <f>NETWORKDAYS(Table1[[#This Row],[ts_event]],Table1[[#This Row],[option_expiry_date]])</f>
        <v>23</v>
      </c>
      <c r="Q291">
        <f>Table1[[#This Row],[Column2]]/252</f>
        <v>9.1269841269841265E-2</v>
      </c>
      <c r="R291" s="2" t="e">
        <f>IF(Table1[[#This Row],[CHECK2]]=0,NA(),
-(1/Table1[[#This Row],[T]])*LN((Table1[[#This Row],[S0]]-Table1[[#This Row],[C]]+Table1[[#This Row],[P]])/Table1[[#This Row],[K]])
)</f>
        <v>#N/A</v>
      </c>
    </row>
    <row r="292" spans="1:18">
      <c r="A292">
        <v>1</v>
      </c>
      <c r="B292" t="s">
        <v>10</v>
      </c>
      <c r="C292" s="1">
        <v>46139</v>
      </c>
      <c r="D292" t="s">
        <v>14</v>
      </c>
      <c r="E292">
        <v>36</v>
      </c>
      <c r="F292" t="s">
        <v>12</v>
      </c>
      <c r="G292" t="s">
        <v>13</v>
      </c>
      <c r="H292" s="1">
        <v>46169</v>
      </c>
      <c r="I292">
        <v>0.92500000000000004</v>
      </c>
      <c r="J292">
        <v>0</v>
      </c>
      <c r="K292">
        <v>400</v>
      </c>
      <c r="L292">
        <v>0</v>
      </c>
      <c r="M292">
        <v>44.3697397709984</v>
      </c>
      <c r="N292">
        <v>1.9319999999999999</v>
      </c>
      <c r="O292">
        <f>(Table1[[#This Row],[P]]&lt;&gt;0)*(Table1[[#This Row],[C]]&lt;&gt;0)</f>
        <v>0</v>
      </c>
      <c r="P292">
        <f>NETWORKDAYS(Table1[[#This Row],[ts_event]],Table1[[#This Row],[option_expiry_date]])</f>
        <v>23</v>
      </c>
      <c r="Q292">
        <f>Table1[[#This Row],[Column2]]/252</f>
        <v>9.1269841269841265E-2</v>
      </c>
      <c r="R292" s="2" t="e">
        <f>IF(Table1[[#This Row],[CHECK2]]=0,NA(),
-(1/Table1[[#This Row],[T]])*LN((Table1[[#This Row],[S0]]-Table1[[#This Row],[C]]+Table1[[#This Row],[P]])/Table1[[#This Row],[K]])
)</f>
        <v>#N/A</v>
      </c>
    </row>
    <row r="293" spans="1:18">
      <c r="A293">
        <v>1</v>
      </c>
      <c r="B293" t="s">
        <v>10</v>
      </c>
      <c r="C293" s="1">
        <v>46139</v>
      </c>
      <c r="D293" t="s">
        <v>14</v>
      </c>
      <c r="E293">
        <v>37</v>
      </c>
      <c r="F293" t="s">
        <v>12</v>
      </c>
      <c r="G293" t="s">
        <v>13</v>
      </c>
      <c r="H293" s="1">
        <v>46169</v>
      </c>
      <c r="I293">
        <v>1.06</v>
      </c>
      <c r="J293">
        <v>0</v>
      </c>
      <c r="K293">
        <v>500</v>
      </c>
      <c r="L293">
        <v>0</v>
      </c>
      <c r="M293">
        <v>44.3697397709984</v>
      </c>
      <c r="N293">
        <v>1.9319999999999999</v>
      </c>
      <c r="O293">
        <f>(Table1[[#This Row],[P]]&lt;&gt;0)*(Table1[[#This Row],[C]]&lt;&gt;0)</f>
        <v>0</v>
      </c>
      <c r="P293">
        <f>NETWORKDAYS(Table1[[#This Row],[ts_event]],Table1[[#This Row],[option_expiry_date]])</f>
        <v>23</v>
      </c>
      <c r="Q293">
        <f>Table1[[#This Row],[Column2]]/252</f>
        <v>9.1269841269841265E-2</v>
      </c>
      <c r="R293" s="2" t="e">
        <f>IF(Table1[[#This Row],[CHECK2]]=0,NA(),
-(1/Table1[[#This Row],[T]])*LN((Table1[[#This Row],[S0]]-Table1[[#This Row],[C]]+Table1[[#This Row],[P]])/Table1[[#This Row],[K]])
)</f>
        <v>#N/A</v>
      </c>
    </row>
    <row r="294" spans="1:18">
      <c r="A294">
        <v>1</v>
      </c>
      <c r="B294" t="s">
        <v>10</v>
      </c>
      <c r="C294" s="1">
        <v>46139</v>
      </c>
      <c r="D294" t="s">
        <v>14</v>
      </c>
      <c r="E294">
        <v>38</v>
      </c>
      <c r="F294" t="s">
        <v>12</v>
      </c>
      <c r="G294" t="s">
        <v>13</v>
      </c>
      <c r="H294" s="1">
        <v>46169</v>
      </c>
      <c r="I294">
        <v>1.33</v>
      </c>
      <c r="J294">
        <v>0</v>
      </c>
      <c r="K294">
        <v>1050</v>
      </c>
      <c r="L294">
        <v>0</v>
      </c>
      <c r="M294">
        <v>44.3697397709984</v>
      </c>
      <c r="N294">
        <v>1.9319999999999999</v>
      </c>
      <c r="O294">
        <f>(Table1[[#This Row],[P]]&lt;&gt;0)*(Table1[[#This Row],[C]]&lt;&gt;0)</f>
        <v>0</v>
      </c>
      <c r="P294">
        <f>NETWORKDAYS(Table1[[#This Row],[ts_event]],Table1[[#This Row],[option_expiry_date]])</f>
        <v>23</v>
      </c>
      <c r="Q294">
        <f>Table1[[#This Row],[Column2]]/252</f>
        <v>9.1269841269841265E-2</v>
      </c>
      <c r="R294" s="2" t="e">
        <f>IF(Table1[[#This Row],[CHECK2]]=0,NA(),
-(1/Table1[[#This Row],[T]])*LN((Table1[[#This Row],[S0]]-Table1[[#This Row],[C]]+Table1[[#This Row],[P]])/Table1[[#This Row],[K]])
)</f>
        <v>#N/A</v>
      </c>
    </row>
    <row r="295" spans="1:18">
      <c r="A295">
        <v>1</v>
      </c>
      <c r="B295" t="s">
        <v>10</v>
      </c>
      <c r="C295" s="1">
        <v>46139</v>
      </c>
      <c r="D295" t="s">
        <v>14</v>
      </c>
      <c r="E295">
        <v>39</v>
      </c>
      <c r="F295" t="s">
        <v>12</v>
      </c>
      <c r="G295" t="s">
        <v>13</v>
      </c>
      <c r="H295" s="1">
        <v>46169</v>
      </c>
      <c r="I295">
        <v>1.65</v>
      </c>
      <c r="J295">
        <v>0</v>
      </c>
      <c r="K295">
        <v>2200</v>
      </c>
      <c r="L295">
        <v>0</v>
      </c>
      <c r="M295">
        <v>44.3697397709984</v>
      </c>
      <c r="N295">
        <v>1.9319999999999999</v>
      </c>
      <c r="O295">
        <f>(Table1[[#This Row],[P]]&lt;&gt;0)*(Table1[[#This Row],[C]]&lt;&gt;0)</f>
        <v>0</v>
      </c>
      <c r="P295">
        <f>NETWORKDAYS(Table1[[#This Row],[ts_event]],Table1[[#This Row],[option_expiry_date]])</f>
        <v>23</v>
      </c>
      <c r="Q295">
        <f>Table1[[#This Row],[Column2]]/252</f>
        <v>9.1269841269841265E-2</v>
      </c>
      <c r="R295" s="2" t="e">
        <f>IF(Table1[[#This Row],[CHECK2]]=0,NA(),
-(1/Table1[[#This Row],[T]])*LN((Table1[[#This Row],[S0]]-Table1[[#This Row],[C]]+Table1[[#This Row],[P]])/Table1[[#This Row],[K]])
)</f>
        <v>#N/A</v>
      </c>
    </row>
    <row r="296" spans="1:18">
      <c r="A296">
        <v>2</v>
      </c>
      <c r="B296" t="s">
        <v>10</v>
      </c>
      <c r="C296" s="1">
        <v>46139</v>
      </c>
      <c r="D296" t="s">
        <v>14</v>
      </c>
      <c r="E296">
        <v>40</v>
      </c>
      <c r="F296" t="s">
        <v>12</v>
      </c>
      <c r="G296" t="s">
        <v>13</v>
      </c>
      <c r="H296" s="1">
        <v>46169</v>
      </c>
      <c r="I296">
        <v>1.9420769230769199</v>
      </c>
      <c r="J296">
        <v>0</v>
      </c>
      <c r="K296">
        <v>1625</v>
      </c>
      <c r="L296">
        <v>0</v>
      </c>
      <c r="M296">
        <v>44.3697397709984</v>
      </c>
      <c r="N296">
        <v>1.9319999999999999</v>
      </c>
      <c r="O296">
        <f>(Table1[[#This Row],[P]]&lt;&gt;0)*(Table1[[#This Row],[C]]&lt;&gt;0)</f>
        <v>0</v>
      </c>
      <c r="P296">
        <f>NETWORKDAYS(Table1[[#This Row],[ts_event]],Table1[[#This Row],[option_expiry_date]])</f>
        <v>23</v>
      </c>
      <c r="Q296">
        <f>Table1[[#This Row],[Column2]]/252</f>
        <v>9.1269841269841265E-2</v>
      </c>
      <c r="R296" s="2" t="e">
        <f>IF(Table1[[#This Row],[CHECK2]]=0,NA(),
-(1/Table1[[#This Row],[T]])*LN((Table1[[#This Row],[S0]]-Table1[[#This Row],[C]]+Table1[[#This Row],[P]])/Table1[[#This Row],[K]])
)</f>
        <v>#N/A</v>
      </c>
    </row>
    <row r="297" spans="1:18">
      <c r="A297">
        <v>1</v>
      </c>
      <c r="B297" t="s">
        <v>10</v>
      </c>
      <c r="C297" s="1">
        <v>46139</v>
      </c>
      <c r="D297" t="s">
        <v>14</v>
      </c>
      <c r="E297">
        <v>44</v>
      </c>
      <c r="F297" t="s">
        <v>12</v>
      </c>
      <c r="G297" t="s">
        <v>13</v>
      </c>
      <c r="H297" s="1">
        <v>46169</v>
      </c>
      <c r="I297">
        <v>4.1500000000000004</v>
      </c>
      <c r="J297">
        <v>0</v>
      </c>
      <c r="K297">
        <v>1000</v>
      </c>
      <c r="L297">
        <v>0</v>
      </c>
      <c r="M297">
        <v>44.3697397709984</v>
      </c>
      <c r="N297">
        <v>1.9319999999999999</v>
      </c>
      <c r="O297">
        <f>(Table1[[#This Row],[P]]&lt;&gt;0)*(Table1[[#This Row],[C]]&lt;&gt;0)</f>
        <v>0</v>
      </c>
      <c r="P297">
        <f>NETWORKDAYS(Table1[[#This Row],[ts_event]],Table1[[#This Row],[option_expiry_date]])</f>
        <v>23</v>
      </c>
      <c r="Q297">
        <f>Table1[[#This Row],[Column2]]/252</f>
        <v>9.1269841269841265E-2</v>
      </c>
      <c r="R297" s="2" t="e">
        <f>IF(Table1[[#This Row],[CHECK2]]=0,NA(),
-(1/Table1[[#This Row],[T]])*LN((Table1[[#This Row],[S0]]-Table1[[#This Row],[C]]+Table1[[#This Row],[P]])/Table1[[#This Row],[K]])
)</f>
        <v>#N/A</v>
      </c>
    </row>
    <row r="298" spans="1:18">
      <c r="A298">
        <v>4</v>
      </c>
      <c r="B298" t="s">
        <v>10</v>
      </c>
      <c r="C298" s="1">
        <v>46139</v>
      </c>
      <c r="D298" t="s">
        <v>14</v>
      </c>
      <c r="E298">
        <v>45</v>
      </c>
      <c r="F298" t="s">
        <v>12</v>
      </c>
      <c r="G298" t="s">
        <v>13</v>
      </c>
      <c r="H298" s="1">
        <v>46169</v>
      </c>
      <c r="I298">
        <v>4.6522727272727202</v>
      </c>
      <c r="J298">
        <v>4.02866666666666</v>
      </c>
      <c r="K298">
        <v>990</v>
      </c>
      <c r="L298">
        <v>1500</v>
      </c>
      <c r="M298">
        <v>44.3697397709984</v>
      </c>
      <c r="N298">
        <v>1.9319999999999999</v>
      </c>
      <c r="O298">
        <f>(Table1[[#This Row],[P]]&lt;&gt;0)*(Table1[[#This Row],[C]]&lt;&gt;0)</f>
        <v>1</v>
      </c>
      <c r="P298">
        <f>NETWORKDAYS(Table1[[#This Row],[ts_event]],Table1[[#This Row],[option_expiry_date]])</f>
        <v>23</v>
      </c>
      <c r="Q298">
        <f>Table1[[#This Row],[Column2]]/252</f>
        <v>9.1269841269841265E-2</v>
      </c>
      <c r="R298" s="2">
        <f>IF(Table1[[#This Row],[CHECK2]]=0,NA(),
-(1/Table1[[#This Row],[T]])*LN((Table1[[#This Row],[S0]]-Table1[[#This Row],[C]]+Table1[[#This Row],[P]])/Table1[[#This Row],[K]])
)</f>
        <v>1.6202651460671871E-3</v>
      </c>
    </row>
    <row r="299" spans="1:18">
      <c r="A299">
        <v>1</v>
      </c>
      <c r="B299" t="s">
        <v>10</v>
      </c>
      <c r="C299" s="1">
        <v>46139</v>
      </c>
      <c r="D299" t="s">
        <v>14</v>
      </c>
      <c r="E299">
        <v>48</v>
      </c>
      <c r="F299" t="s">
        <v>12</v>
      </c>
      <c r="G299" t="s">
        <v>13</v>
      </c>
      <c r="H299" s="1">
        <v>46169</v>
      </c>
      <c r="I299">
        <v>0</v>
      </c>
      <c r="J299">
        <v>3.65</v>
      </c>
      <c r="K299">
        <v>0</v>
      </c>
      <c r="L299">
        <v>750</v>
      </c>
      <c r="M299">
        <v>44.3697397709984</v>
      </c>
      <c r="N299">
        <v>1.9319999999999999</v>
      </c>
      <c r="O299">
        <f>(Table1[[#This Row],[P]]&lt;&gt;0)*(Table1[[#This Row],[C]]&lt;&gt;0)</f>
        <v>0</v>
      </c>
      <c r="P299">
        <f>NETWORKDAYS(Table1[[#This Row],[ts_event]],Table1[[#This Row],[option_expiry_date]])</f>
        <v>23</v>
      </c>
      <c r="Q299">
        <f>Table1[[#This Row],[Column2]]/252</f>
        <v>9.1269841269841265E-2</v>
      </c>
      <c r="R299" s="2" t="e">
        <f>IF(Table1[[#This Row],[CHECK2]]=0,NA(),
-(1/Table1[[#This Row],[T]])*LN((Table1[[#This Row],[S0]]-Table1[[#This Row],[C]]+Table1[[#This Row],[P]])/Table1[[#This Row],[K]])
)</f>
        <v>#N/A</v>
      </c>
    </row>
    <row r="300" spans="1:18">
      <c r="A300">
        <v>3</v>
      </c>
      <c r="B300" t="s">
        <v>10</v>
      </c>
      <c r="C300" s="1">
        <v>46139</v>
      </c>
      <c r="D300" t="s">
        <v>14</v>
      </c>
      <c r="E300">
        <v>50</v>
      </c>
      <c r="F300" t="s">
        <v>12</v>
      </c>
      <c r="G300" t="s">
        <v>13</v>
      </c>
      <c r="H300" s="1">
        <v>46169</v>
      </c>
      <c r="I300">
        <v>8.1</v>
      </c>
      <c r="J300">
        <v>2.6423487544483901</v>
      </c>
      <c r="K300">
        <v>500</v>
      </c>
      <c r="L300">
        <v>1405</v>
      </c>
      <c r="M300">
        <v>44.3697397709984</v>
      </c>
      <c r="N300">
        <v>1.9319999999999999</v>
      </c>
      <c r="O300">
        <f>(Table1[[#This Row],[P]]&lt;&gt;0)*(Table1[[#This Row],[C]]&lt;&gt;0)</f>
        <v>1</v>
      </c>
      <c r="P300">
        <f>NETWORKDAYS(Table1[[#This Row],[ts_event]],Table1[[#This Row],[option_expiry_date]])</f>
        <v>23</v>
      </c>
      <c r="Q300">
        <f>Table1[[#This Row],[Column2]]/252</f>
        <v>9.1269841269841265E-2</v>
      </c>
      <c r="R300" s="2">
        <f>IF(Table1[[#This Row],[CHECK2]]=0,NA(),
-(1/Table1[[#This Row],[T]])*LN((Table1[[#This Row],[S0]]-Table1[[#This Row],[C]]+Table1[[#This Row],[P]])/Table1[[#This Row],[K]])
)</f>
        <v>3.7889319654336208E-2</v>
      </c>
    </row>
    <row r="301" spans="1:18">
      <c r="A301">
        <v>1</v>
      </c>
      <c r="B301" t="s">
        <v>10</v>
      </c>
      <c r="C301" s="1">
        <v>46139</v>
      </c>
      <c r="D301" t="s">
        <v>14</v>
      </c>
      <c r="E301">
        <v>53</v>
      </c>
      <c r="F301" t="s">
        <v>12</v>
      </c>
      <c r="G301" t="s">
        <v>13</v>
      </c>
      <c r="H301" s="1">
        <v>46169</v>
      </c>
      <c r="I301">
        <v>0</v>
      </c>
      <c r="J301">
        <v>2.65</v>
      </c>
      <c r="K301">
        <v>0</v>
      </c>
      <c r="L301">
        <v>1500</v>
      </c>
      <c r="M301">
        <v>44.3697397709984</v>
      </c>
      <c r="N301">
        <v>1.9319999999999999</v>
      </c>
      <c r="O301">
        <f>(Table1[[#This Row],[P]]&lt;&gt;0)*(Table1[[#This Row],[C]]&lt;&gt;0)</f>
        <v>0</v>
      </c>
      <c r="P301">
        <f>NETWORKDAYS(Table1[[#This Row],[ts_event]],Table1[[#This Row],[option_expiry_date]])</f>
        <v>23</v>
      </c>
      <c r="Q301">
        <f>Table1[[#This Row],[Column2]]/252</f>
        <v>9.1269841269841265E-2</v>
      </c>
      <c r="R301" s="2" t="e">
        <f>IF(Table1[[#This Row],[CHECK2]]=0,NA(),
-(1/Table1[[#This Row],[T]])*LN((Table1[[#This Row],[S0]]-Table1[[#This Row],[C]]+Table1[[#This Row],[P]])/Table1[[#This Row],[K]])
)</f>
        <v>#N/A</v>
      </c>
    </row>
    <row r="302" spans="1:18">
      <c r="A302">
        <v>2</v>
      </c>
      <c r="B302" t="s">
        <v>10</v>
      </c>
      <c r="C302" s="1">
        <v>46139</v>
      </c>
      <c r="D302" t="s">
        <v>14</v>
      </c>
      <c r="E302">
        <v>55</v>
      </c>
      <c r="F302" t="s">
        <v>12</v>
      </c>
      <c r="G302" t="s">
        <v>13</v>
      </c>
      <c r="H302" s="1">
        <v>46169</v>
      </c>
      <c r="I302">
        <v>0</v>
      </c>
      <c r="J302">
        <v>1.8333333333333299</v>
      </c>
      <c r="K302">
        <v>0</v>
      </c>
      <c r="L302">
        <v>360</v>
      </c>
      <c r="M302">
        <v>44.3697397709984</v>
      </c>
      <c r="N302">
        <v>1.9319999999999999</v>
      </c>
      <c r="O302">
        <f>(Table1[[#This Row],[P]]&lt;&gt;0)*(Table1[[#This Row],[C]]&lt;&gt;0)</f>
        <v>0</v>
      </c>
      <c r="P302">
        <f>NETWORKDAYS(Table1[[#This Row],[ts_event]],Table1[[#This Row],[option_expiry_date]])</f>
        <v>23</v>
      </c>
      <c r="Q302">
        <f>Table1[[#This Row],[Column2]]/252</f>
        <v>9.1269841269841265E-2</v>
      </c>
      <c r="R302" s="2" t="e">
        <f>IF(Table1[[#This Row],[CHECK2]]=0,NA(),
-(1/Table1[[#This Row],[T]])*LN((Table1[[#This Row],[S0]]-Table1[[#This Row],[C]]+Table1[[#This Row],[P]])/Table1[[#This Row],[K]])
)</f>
        <v>#N/A</v>
      </c>
    </row>
    <row r="303" spans="1:18">
      <c r="A303">
        <v>1</v>
      </c>
      <c r="B303" t="s">
        <v>10</v>
      </c>
      <c r="C303" s="1">
        <v>46139</v>
      </c>
      <c r="D303" t="s">
        <v>14</v>
      </c>
      <c r="E303">
        <v>58</v>
      </c>
      <c r="F303" t="s">
        <v>12</v>
      </c>
      <c r="G303" t="s">
        <v>13</v>
      </c>
      <c r="H303" s="1">
        <v>46169</v>
      </c>
      <c r="I303">
        <v>0</v>
      </c>
      <c r="J303">
        <v>2.0750000000000002</v>
      </c>
      <c r="K303">
        <v>0</v>
      </c>
      <c r="L303">
        <v>750</v>
      </c>
      <c r="M303">
        <v>44.3697397709984</v>
      </c>
      <c r="N303">
        <v>1.9319999999999999</v>
      </c>
      <c r="O303">
        <f>(Table1[[#This Row],[P]]&lt;&gt;0)*(Table1[[#This Row],[C]]&lt;&gt;0)</f>
        <v>0</v>
      </c>
      <c r="P303">
        <f>NETWORKDAYS(Table1[[#This Row],[ts_event]],Table1[[#This Row],[option_expiry_date]])</f>
        <v>23</v>
      </c>
      <c r="Q303">
        <f>Table1[[#This Row],[Column2]]/252</f>
        <v>9.1269841269841265E-2</v>
      </c>
      <c r="R303" s="2" t="e">
        <f>IF(Table1[[#This Row],[CHECK2]]=0,NA(),
-(1/Table1[[#This Row],[T]])*LN((Table1[[#This Row],[S0]]-Table1[[#This Row],[C]]+Table1[[#This Row],[P]])/Table1[[#This Row],[K]])
)</f>
        <v>#N/A</v>
      </c>
    </row>
    <row r="304" spans="1:18">
      <c r="A304">
        <v>2</v>
      </c>
      <c r="B304" t="s">
        <v>10</v>
      </c>
      <c r="C304" s="1">
        <v>46139</v>
      </c>
      <c r="D304" t="s">
        <v>14</v>
      </c>
      <c r="E304">
        <v>60</v>
      </c>
      <c r="F304" t="s">
        <v>12</v>
      </c>
      <c r="G304" t="s">
        <v>13</v>
      </c>
      <c r="H304" s="1">
        <v>46169</v>
      </c>
      <c r="I304">
        <v>0</v>
      </c>
      <c r="J304">
        <v>1.76986301369863</v>
      </c>
      <c r="K304">
        <v>0</v>
      </c>
      <c r="L304">
        <v>365</v>
      </c>
      <c r="M304">
        <v>44.3697397709984</v>
      </c>
      <c r="N304">
        <v>1.9319999999999999</v>
      </c>
      <c r="O304">
        <f>(Table1[[#This Row],[P]]&lt;&gt;0)*(Table1[[#This Row],[C]]&lt;&gt;0)</f>
        <v>0</v>
      </c>
      <c r="P304">
        <f>NETWORKDAYS(Table1[[#This Row],[ts_event]],Table1[[#This Row],[option_expiry_date]])</f>
        <v>23</v>
      </c>
      <c r="Q304">
        <f>Table1[[#This Row],[Column2]]/252</f>
        <v>9.1269841269841265E-2</v>
      </c>
      <c r="R304" s="2" t="e">
        <f>IF(Table1[[#This Row],[CHECK2]]=0,NA(),
-(1/Table1[[#This Row],[T]])*LN((Table1[[#This Row],[S0]]-Table1[[#This Row],[C]]+Table1[[#This Row],[P]])/Table1[[#This Row],[K]])
)</f>
        <v>#N/A</v>
      </c>
    </row>
    <row r="305" spans="1:18">
      <c r="A305">
        <v>2</v>
      </c>
      <c r="B305" t="s">
        <v>10</v>
      </c>
      <c r="C305" s="1">
        <v>46139</v>
      </c>
      <c r="D305" t="s">
        <v>14</v>
      </c>
      <c r="E305">
        <v>65</v>
      </c>
      <c r="F305" t="s">
        <v>12</v>
      </c>
      <c r="G305" t="s">
        <v>13</v>
      </c>
      <c r="H305" s="1">
        <v>46169</v>
      </c>
      <c r="I305">
        <v>0</v>
      </c>
      <c r="J305">
        <v>0.90261904761904699</v>
      </c>
      <c r="K305">
        <v>0</v>
      </c>
      <c r="L305">
        <v>630</v>
      </c>
      <c r="M305">
        <v>44.3697397709984</v>
      </c>
      <c r="N305">
        <v>1.9319999999999999</v>
      </c>
      <c r="O305">
        <f>(Table1[[#This Row],[P]]&lt;&gt;0)*(Table1[[#This Row],[C]]&lt;&gt;0)</f>
        <v>0</v>
      </c>
      <c r="P305">
        <f>NETWORKDAYS(Table1[[#This Row],[ts_event]],Table1[[#This Row],[option_expiry_date]])</f>
        <v>23</v>
      </c>
      <c r="Q305">
        <f>Table1[[#This Row],[Column2]]/252</f>
        <v>9.1269841269841265E-2</v>
      </c>
      <c r="R305" s="2" t="e">
        <f>IF(Table1[[#This Row],[CHECK2]]=0,NA(),
-(1/Table1[[#This Row],[T]])*LN((Table1[[#This Row],[S0]]-Table1[[#This Row],[C]]+Table1[[#This Row],[P]])/Table1[[#This Row],[K]])
)</f>
        <v>#N/A</v>
      </c>
    </row>
    <row r="306" spans="1:18">
      <c r="A306">
        <v>1</v>
      </c>
      <c r="B306" t="s">
        <v>10</v>
      </c>
      <c r="C306" s="1">
        <v>46139</v>
      </c>
      <c r="D306" t="s">
        <v>14</v>
      </c>
      <c r="E306">
        <v>70</v>
      </c>
      <c r="F306" t="s">
        <v>12</v>
      </c>
      <c r="G306" t="s">
        <v>13</v>
      </c>
      <c r="H306" s="1">
        <v>46169</v>
      </c>
      <c r="I306">
        <v>0</v>
      </c>
      <c r="J306">
        <v>0.7</v>
      </c>
      <c r="K306">
        <v>0</v>
      </c>
      <c r="L306">
        <v>100</v>
      </c>
      <c r="M306">
        <v>44.3697397709984</v>
      </c>
      <c r="N306">
        <v>1.9319999999999999</v>
      </c>
      <c r="O306">
        <f>(Table1[[#This Row],[P]]&lt;&gt;0)*(Table1[[#This Row],[C]]&lt;&gt;0)</f>
        <v>0</v>
      </c>
      <c r="P306">
        <f>NETWORKDAYS(Table1[[#This Row],[ts_event]],Table1[[#This Row],[option_expiry_date]])</f>
        <v>23</v>
      </c>
      <c r="Q306">
        <f>Table1[[#This Row],[Column2]]/252</f>
        <v>9.1269841269841265E-2</v>
      </c>
      <c r="R306" s="2" t="e">
        <f>IF(Table1[[#This Row],[CHECK2]]=0,NA(),
-(1/Table1[[#This Row],[T]])*LN((Table1[[#This Row],[S0]]-Table1[[#This Row],[C]]+Table1[[#This Row],[P]])/Table1[[#This Row],[K]])
)</f>
        <v>#N/A</v>
      </c>
    </row>
    <row r="307" spans="1:18">
      <c r="A307">
        <v>1</v>
      </c>
      <c r="B307" t="s">
        <v>10</v>
      </c>
      <c r="C307" s="1">
        <v>46139</v>
      </c>
      <c r="D307" t="s">
        <v>14</v>
      </c>
      <c r="E307">
        <v>80</v>
      </c>
      <c r="F307" t="s">
        <v>12</v>
      </c>
      <c r="G307" t="s">
        <v>13</v>
      </c>
      <c r="H307" s="1">
        <v>46169</v>
      </c>
      <c r="I307">
        <v>0</v>
      </c>
      <c r="J307">
        <v>0.44</v>
      </c>
      <c r="K307">
        <v>0</v>
      </c>
      <c r="L307">
        <v>250</v>
      </c>
      <c r="M307">
        <v>44.3697397709984</v>
      </c>
      <c r="N307">
        <v>1.9319999999999999</v>
      </c>
      <c r="O307">
        <f>(Table1[[#This Row],[P]]&lt;&gt;0)*(Table1[[#This Row],[C]]&lt;&gt;0)</f>
        <v>0</v>
      </c>
      <c r="P307">
        <f>NETWORKDAYS(Table1[[#This Row],[ts_event]],Table1[[#This Row],[option_expiry_date]])</f>
        <v>23</v>
      </c>
      <c r="Q307">
        <f>Table1[[#This Row],[Column2]]/252</f>
        <v>9.1269841269841265E-2</v>
      </c>
      <c r="R307" s="2" t="e">
        <f>IF(Table1[[#This Row],[CHECK2]]=0,NA(),
-(1/Table1[[#This Row],[T]])*LN((Table1[[#This Row],[S0]]-Table1[[#This Row],[C]]+Table1[[#This Row],[P]])/Table1[[#This Row],[K]])
)</f>
        <v>#N/A</v>
      </c>
    </row>
    <row r="308" spans="1:18">
      <c r="A308">
        <v>1</v>
      </c>
      <c r="B308" t="s">
        <v>10</v>
      </c>
      <c r="C308" s="1">
        <v>46139</v>
      </c>
      <c r="D308" t="s">
        <v>14</v>
      </c>
      <c r="E308">
        <v>100</v>
      </c>
      <c r="F308" t="s">
        <v>12</v>
      </c>
      <c r="G308" t="s">
        <v>13</v>
      </c>
      <c r="H308" s="1">
        <v>46169</v>
      </c>
      <c r="I308">
        <v>0</v>
      </c>
      <c r="J308">
        <v>0.25</v>
      </c>
      <c r="K308">
        <v>0</v>
      </c>
      <c r="L308">
        <v>1000</v>
      </c>
      <c r="M308">
        <v>44.3697397709984</v>
      </c>
      <c r="N308">
        <v>1.9319999999999999</v>
      </c>
      <c r="O308">
        <f>(Table1[[#This Row],[P]]&lt;&gt;0)*(Table1[[#This Row],[C]]&lt;&gt;0)</f>
        <v>0</v>
      </c>
      <c r="P308">
        <f>NETWORKDAYS(Table1[[#This Row],[ts_event]],Table1[[#This Row],[option_expiry_date]])</f>
        <v>23</v>
      </c>
      <c r="Q308">
        <f>Table1[[#This Row],[Column2]]/252</f>
        <v>9.1269841269841265E-2</v>
      </c>
      <c r="R308" s="2" t="e">
        <f>IF(Table1[[#This Row],[CHECK2]]=0,NA(),
-(1/Table1[[#This Row],[T]])*LN((Table1[[#This Row],[S0]]-Table1[[#This Row],[C]]+Table1[[#This Row],[P]])/Table1[[#This Row],[K]])
)</f>
        <v>#N/A</v>
      </c>
    </row>
    <row r="309" spans="1:18">
      <c r="A309">
        <v>1</v>
      </c>
      <c r="B309" t="s">
        <v>10</v>
      </c>
      <c r="C309" s="1">
        <v>46139</v>
      </c>
      <c r="D309" t="s">
        <v>15</v>
      </c>
      <c r="E309">
        <v>27</v>
      </c>
      <c r="F309" t="s">
        <v>12</v>
      </c>
      <c r="G309" t="s">
        <v>13</v>
      </c>
      <c r="H309" s="1">
        <v>46199</v>
      </c>
      <c r="I309">
        <v>0.22500000000000001</v>
      </c>
      <c r="J309">
        <v>0</v>
      </c>
      <c r="K309">
        <v>1800</v>
      </c>
      <c r="L309">
        <v>0</v>
      </c>
      <c r="M309">
        <v>44.369610216577797</v>
      </c>
      <c r="N309">
        <v>1.9319999999999999</v>
      </c>
      <c r="O309">
        <f>(Table1[[#This Row],[P]]&lt;&gt;0)*(Table1[[#This Row],[C]]&lt;&gt;0)</f>
        <v>0</v>
      </c>
      <c r="P309">
        <f>NETWORKDAYS(Table1[[#This Row],[ts_event]],Table1[[#This Row],[option_expiry_date]])</f>
        <v>45</v>
      </c>
      <c r="Q309">
        <f>Table1[[#This Row],[Column2]]/252</f>
        <v>0.17857142857142858</v>
      </c>
      <c r="R309" s="2" t="e">
        <f>IF(Table1[[#This Row],[CHECK2]]=0,NA(),
-(1/Table1[[#This Row],[T]])*LN((Table1[[#This Row],[S0]]-Table1[[#This Row],[C]]+Table1[[#This Row],[P]])/Table1[[#This Row],[K]])
)</f>
        <v>#N/A</v>
      </c>
    </row>
    <row r="310" spans="1:18">
      <c r="A310">
        <v>1</v>
      </c>
      <c r="B310" t="s">
        <v>10</v>
      </c>
      <c r="C310" s="1">
        <v>46139</v>
      </c>
      <c r="D310" t="s">
        <v>15</v>
      </c>
      <c r="E310">
        <v>30</v>
      </c>
      <c r="F310" t="s">
        <v>12</v>
      </c>
      <c r="G310" t="s">
        <v>13</v>
      </c>
      <c r="H310" s="1">
        <v>46199</v>
      </c>
      <c r="I310">
        <v>0.47499999999999998</v>
      </c>
      <c r="J310">
        <v>0</v>
      </c>
      <c r="K310">
        <v>975</v>
      </c>
      <c r="L310">
        <v>0</v>
      </c>
      <c r="M310">
        <v>44.369610216577797</v>
      </c>
      <c r="N310">
        <v>1.9319999999999999</v>
      </c>
      <c r="O310">
        <f>(Table1[[#This Row],[P]]&lt;&gt;0)*(Table1[[#This Row],[C]]&lt;&gt;0)</f>
        <v>0</v>
      </c>
      <c r="P310">
        <f>NETWORKDAYS(Table1[[#This Row],[ts_event]],Table1[[#This Row],[option_expiry_date]])</f>
        <v>45</v>
      </c>
      <c r="Q310">
        <f>Table1[[#This Row],[Column2]]/252</f>
        <v>0.17857142857142858</v>
      </c>
      <c r="R310" s="2" t="e">
        <f>IF(Table1[[#This Row],[CHECK2]]=0,NA(),
-(1/Table1[[#This Row],[T]])*LN((Table1[[#This Row],[S0]]-Table1[[#This Row],[C]]+Table1[[#This Row],[P]])/Table1[[#This Row],[K]])
)</f>
        <v>#N/A</v>
      </c>
    </row>
    <row r="311" spans="1:18">
      <c r="A311">
        <v>1</v>
      </c>
      <c r="B311" t="s">
        <v>10</v>
      </c>
      <c r="C311" s="1">
        <v>46139</v>
      </c>
      <c r="D311" t="s">
        <v>15</v>
      </c>
      <c r="E311">
        <v>33</v>
      </c>
      <c r="F311" t="s">
        <v>12</v>
      </c>
      <c r="G311" t="s">
        <v>13</v>
      </c>
      <c r="H311" s="1">
        <v>46199</v>
      </c>
      <c r="I311">
        <v>0.87</v>
      </c>
      <c r="J311">
        <v>0</v>
      </c>
      <c r="K311">
        <v>55</v>
      </c>
      <c r="L311">
        <v>0</v>
      </c>
      <c r="M311">
        <v>44.369610216577797</v>
      </c>
      <c r="N311">
        <v>1.9319999999999999</v>
      </c>
      <c r="O311">
        <f>(Table1[[#This Row],[P]]&lt;&gt;0)*(Table1[[#This Row],[C]]&lt;&gt;0)</f>
        <v>0</v>
      </c>
      <c r="P311">
        <f>NETWORKDAYS(Table1[[#This Row],[ts_event]],Table1[[#This Row],[option_expiry_date]])</f>
        <v>45</v>
      </c>
      <c r="Q311">
        <f>Table1[[#This Row],[Column2]]/252</f>
        <v>0.17857142857142858</v>
      </c>
      <c r="R311" s="2" t="e">
        <f>IF(Table1[[#This Row],[CHECK2]]=0,NA(),
-(1/Table1[[#This Row],[T]])*LN((Table1[[#This Row],[S0]]-Table1[[#This Row],[C]]+Table1[[#This Row],[P]])/Table1[[#This Row],[K]])
)</f>
        <v>#N/A</v>
      </c>
    </row>
    <row r="312" spans="1:18">
      <c r="A312">
        <v>1</v>
      </c>
      <c r="B312" t="s">
        <v>10</v>
      </c>
      <c r="C312" s="1">
        <v>46139</v>
      </c>
      <c r="D312" t="s">
        <v>15</v>
      </c>
      <c r="E312">
        <v>35</v>
      </c>
      <c r="F312" t="s">
        <v>12</v>
      </c>
      <c r="G312" t="s">
        <v>13</v>
      </c>
      <c r="H312" s="1">
        <v>46199</v>
      </c>
      <c r="I312">
        <v>1.27</v>
      </c>
      <c r="J312">
        <v>0</v>
      </c>
      <c r="K312">
        <v>500</v>
      </c>
      <c r="L312">
        <v>0</v>
      </c>
      <c r="M312">
        <v>44.369610216577797</v>
      </c>
      <c r="N312">
        <v>1.9319999999999999</v>
      </c>
      <c r="O312">
        <f>(Table1[[#This Row],[P]]&lt;&gt;0)*(Table1[[#This Row],[C]]&lt;&gt;0)</f>
        <v>0</v>
      </c>
      <c r="P312">
        <f>NETWORKDAYS(Table1[[#This Row],[ts_event]],Table1[[#This Row],[option_expiry_date]])</f>
        <v>45</v>
      </c>
      <c r="Q312">
        <f>Table1[[#This Row],[Column2]]/252</f>
        <v>0.17857142857142858</v>
      </c>
      <c r="R312" s="2" t="e">
        <f>IF(Table1[[#This Row],[CHECK2]]=0,NA(),
-(1/Table1[[#This Row],[T]])*LN((Table1[[#This Row],[S0]]-Table1[[#This Row],[C]]+Table1[[#This Row],[P]])/Table1[[#This Row],[K]])
)</f>
        <v>#N/A</v>
      </c>
    </row>
    <row r="313" spans="1:18">
      <c r="A313">
        <v>1</v>
      </c>
      <c r="B313" t="s">
        <v>10</v>
      </c>
      <c r="C313" s="1">
        <v>46139</v>
      </c>
      <c r="D313" t="s">
        <v>15</v>
      </c>
      <c r="E313">
        <v>45</v>
      </c>
      <c r="F313" t="s">
        <v>12</v>
      </c>
      <c r="G313" t="s">
        <v>13</v>
      </c>
      <c r="H313" s="1">
        <v>46199</v>
      </c>
      <c r="I313">
        <v>0</v>
      </c>
      <c r="J313">
        <v>5.45</v>
      </c>
      <c r="K313">
        <v>0</v>
      </c>
      <c r="L313">
        <v>300</v>
      </c>
      <c r="M313">
        <v>44.369610216577797</v>
      </c>
      <c r="N313">
        <v>1.9319999999999999</v>
      </c>
      <c r="O313">
        <f>(Table1[[#This Row],[P]]&lt;&gt;0)*(Table1[[#This Row],[C]]&lt;&gt;0)</f>
        <v>0</v>
      </c>
      <c r="P313">
        <f>NETWORKDAYS(Table1[[#This Row],[ts_event]],Table1[[#This Row],[option_expiry_date]])</f>
        <v>45</v>
      </c>
      <c r="Q313">
        <f>Table1[[#This Row],[Column2]]/252</f>
        <v>0.17857142857142858</v>
      </c>
      <c r="R313" s="2" t="e">
        <f>IF(Table1[[#This Row],[CHECK2]]=0,NA(),
-(1/Table1[[#This Row],[T]])*LN((Table1[[#This Row],[S0]]-Table1[[#This Row],[C]]+Table1[[#This Row],[P]])/Table1[[#This Row],[K]])
)</f>
        <v>#N/A</v>
      </c>
    </row>
    <row r="314" spans="1:18">
      <c r="A314">
        <v>1</v>
      </c>
      <c r="B314" t="s">
        <v>10</v>
      </c>
      <c r="C314" s="1">
        <v>46139</v>
      </c>
      <c r="D314" t="s">
        <v>15</v>
      </c>
      <c r="E314">
        <v>65</v>
      </c>
      <c r="F314" t="s">
        <v>12</v>
      </c>
      <c r="G314" t="s">
        <v>13</v>
      </c>
      <c r="H314" s="1">
        <v>46199</v>
      </c>
      <c r="I314">
        <v>0</v>
      </c>
      <c r="J314">
        <v>2.0750000000000002</v>
      </c>
      <c r="K314">
        <v>0</v>
      </c>
      <c r="L314">
        <v>100</v>
      </c>
      <c r="M314">
        <v>44.369610216577797</v>
      </c>
      <c r="N314">
        <v>1.9319999999999999</v>
      </c>
      <c r="O314">
        <f>(Table1[[#This Row],[P]]&lt;&gt;0)*(Table1[[#This Row],[C]]&lt;&gt;0)</f>
        <v>0</v>
      </c>
      <c r="P314">
        <f>NETWORKDAYS(Table1[[#This Row],[ts_event]],Table1[[#This Row],[option_expiry_date]])</f>
        <v>45</v>
      </c>
      <c r="Q314">
        <f>Table1[[#This Row],[Column2]]/252</f>
        <v>0.17857142857142858</v>
      </c>
      <c r="R314" s="2" t="e">
        <f>IF(Table1[[#This Row],[CHECK2]]=0,NA(),
-(1/Table1[[#This Row],[T]])*LN((Table1[[#This Row],[S0]]-Table1[[#This Row],[C]]+Table1[[#This Row],[P]])/Table1[[#This Row],[K]])
)</f>
        <v>#N/A</v>
      </c>
    </row>
    <row r="315" spans="1:18">
      <c r="A315">
        <v>1</v>
      </c>
      <c r="B315" t="s">
        <v>10</v>
      </c>
      <c r="C315" s="1">
        <v>46139</v>
      </c>
      <c r="D315" t="s">
        <v>16</v>
      </c>
      <c r="E315">
        <v>31.5</v>
      </c>
      <c r="F315" t="s">
        <v>12</v>
      </c>
      <c r="G315" t="s">
        <v>13</v>
      </c>
      <c r="H315" s="1">
        <v>46230</v>
      </c>
      <c r="I315">
        <v>0.97499999999999998</v>
      </c>
      <c r="J315">
        <v>0</v>
      </c>
      <c r="K315">
        <v>10</v>
      </c>
      <c r="L315">
        <v>0</v>
      </c>
      <c r="M315">
        <v>44.369741395177599</v>
      </c>
      <c r="N315">
        <v>1.9319999999999999</v>
      </c>
      <c r="O315">
        <f>(Table1[[#This Row],[P]]&lt;&gt;0)*(Table1[[#This Row],[C]]&lt;&gt;0)</f>
        <v>0</v>
      </c>
      <c r="P315">
        <f>NETWORKDAYS(Table1[[#This Row],[ts_event]],Table1[[#This Row],[option_expiry_date]])</f>
        <v>66</v>
      </c>
      <c r="Q315">
        <f>Table1[[#This Row],[Column2]]/252</f>
        <v>0.26190476190476192</v>
      </c>
      <c r="R315" s="2" t="e">
        <f>IF(Table1[[#This Row],[CHECK2]]=0,NA(),
-(1/Table1[[#This Row],[T]])*LN((Table1[[#This Row],[S0]]-Table1[[#This Row],[C]]+Table1[[#This Row],[P]])/Table1[[#This Row],[K]])
)</f>
        <v>#N/A</v>
      </c>
    </row>
    <row r="316" spans="1:18">
      <c r="A316">
        <v>1</v>
      </c>
      <c r="B316" t="s">
        <v>10</v>
      </c>
      <c r="C316" s="1">
        <v>46139</v>
      </c>
      <c r="D316" t="s">
        <v>16</v>
      </c>
      <c r="E316">
        <v>35</v>
      </c>
      <c r="F316" t="s">
        <v>12</v>
      </c>
      <c r="G316" t="s">
        <v>13</v>
      </c>
      <c r="H316" s="1">
        <v>46230</v>
      </c>
      <c r="I316">
        <v>1.86</v>
      </c>
      <c r="J316">
        <v>0</v>
      </c>
      <c r="K316">
        <v>625</v>
      </c>
      <c r="L316">
        <v>0</v>
      </c>
      <c r="M316">
        <v>44.369741395177599</v>
      </c>
      <c r="N316">
        <v>1.9319999999999999</v>
      </c>
      <c r="O316">
        <f>(Table1[[#This Row],[P]]&lt;&gt;0)*(Table1[[#This Row],[C]]&lt;&gt;0)</f>
        <v>0</v>
      </c>
      <c r="P316">
        <f>NETWORKDAYS(Table1[[#This Row],[ts_event]],Table1[[#This Row],[option_expiry_date]])</f>
        <v>66</v>
      </c>
      <c r="Q316">
        <f>Table1[[#This Row],[Column2]]/252</f>
        <v>0.26190476190476192</v>
      </c>
      <c r="R316" s="2" t="e">
        <f>IF(Table1[[#This Row],[CHECK2]]=0,NA(),
-(1/Table1[[#This Row],[T]])*LN((Table1[[#This Row],[S0]]-Table1[[#This Row],[C]]+Table1[[#This Row],[P]])/Table1[[#This Row],[K]])
)</f>
        <v>#N/A</v>
      </c>
    </row>
    <row r="317" spans="1:18">
      <c r="A317">
        <v>1</v>
      </c>
      <c r="B317" t="s">
        <v>10</v>
      </c>
      <c r="C317" s="1">
        <v>46139</v>
      </c>
      <c r="D317" t="s">
        <v>16</v>
      </c>
      <c r="E317">
        <v>55</v>
      </c>
      <c r="F317" t="s">
        <v>12</v>
      </c>
      <c r="G317" t="s">
        <v>13</v>
      </c>
      <c r="H317" s="1">
        <v>46230</v>
      </c>
      <c r="I317">
        <v>0</v>
      </c>
      <c r="J317">
        <v>4.2699999999999996</v>
      </c>
      <c r="K317">
        <v>0</v>
      </c>
      <c r="L317">
        <v>200</v>
      </c>
      <c r="M317">
        <v>44.369741395177599</v>
      </c>
      <c r="N317">
        <v>1.9319999999999999</v>
      </c>
      <c r="O317">
        <f>(Table1[[#This Row],[P]]&lt;&gt;0)*(Table1[[#This Row],[C]]&lt;&gt;0)</f>
        <v>0</v>
      </c>
      <c r="P317">
        <f>NETWORKDAYS(Table1[[#This Row],[ts_event]],Table1[[#This Row],[option_expiry_date]])</f>
        <v>66</v>
      </c>
      <c r="Q317">
        <f>Table1[[#This Row],[Column2]]/252</f>
        <v>0.26190476190476192</v>
      </c>
      <c r="R317" s="2" t="e">
        <f>IF(Table1[[#This Row],[CHECK2]]=0,NA(),
-(1/Table1[[#This Row],[T]])*LN((Table1[[#This Row],[S0]]-Table1[[#This Row],[C]]+Table1[[#This Row],[P]])/Table1[[#This Row],[K]])
)</f>
        <v>#N/A</v>
      </c>
    </row>
    <row r="318" spans="1:18">
      <c r="A318">
        <v>1</v>
      </c>
      <c r="B318" t="s">
        <v>10</v>
      </c>
      <c r="C318" s="1">
        <v>46139</v>
      </c>
      <c r="D318" t="s">
        <v>16</v>
      </c>
      <c r="E318">
        <v>60</v>
      </c>
      <c r="F318" t="s">
        <v>12</v>
      </c>
      <c r="G318" t="s">
        <v>13</v>
      </c>
      <c r="H318" s="1">
        <v>46230</v>
      </c>
      <c r="I318">
        <v>0</v>
      </c>
      <c r="J318">
        <v>3.35</v>
      </c>
      <c r="K318">
        <v>0</v>
      </c>
      <c r="L318">
        <v>1000</v>
      </c>
      <c r="M318">
        <v>44.369741395177599</v>
      </c>
      <c r="N318">
        <v>1.9319999999999999</v>
      </c>
      <c r="O318">
        <f>(Table1[[#This Row],[P]]&lt;&gt;0)*(Table1[[#This Row],[C]]&lt;&gt;0)</f>
        <v>0</v>
      </c>
      <c r="P318">
        <f>NETWORKDAYS(Table1[[#This Row],[ts_event]],Table1[[#This Row],[option_expiry_date]])</f>
        <v>66</v>
      </c>
      <c r="Q318">
        <f>Table1[[#This Row],[Column2]]/252</f>
        <v>0.26190476190476192</v>
      </c>
      <c r="R318" s="2" t="e">
        <f>IF(Table1[[#This Row],[CHECK2]]=0,NA(),
-(1/Table1[[#This Row],[T]])*LN((Table1[[#This Row],[S0]]-Table1[[#This Row],[C]]+Table1[[#This Row],[P]])/Table1[[#This Row],[K]])
)</f>
        <v>#N/A</v>
      </c>
    </row>
    <row r="319" spans="1:18">
      <c r="A319">
        <v>1</v>
      </c>
      <c r="B319" t="s">
        <v>10</v>
      </c>
      <c r="C319" s="1">
        <v>46139</v>
      </c>
      <c r="D319" t="s">
        <v>16</v>
      </c>
      <c r="E319">
        <v>90</v>
      </c>
      <c r="F319" t="s">
        <v>12</v>
      </c>
      <c r="G319" t="s">
        <v>13</v>
      </c>
      <c r="H319" s="1">
        <v>46230</v>
      </c>
      <c r="I319">
        <v>0</v>
      </c>
      <c r="J319">
        <v>1.175</v>
      </c>
      <c r="K319">
        <v>0</v>
      </c>
      <c r="L319">
        <v>450</v>
      </c>
      <c r="M319">
        <v>44.369741395177599</v>
      </c>
      <c r="N319">
        <v>1.9319999999999999</v>
      </c>
      <c r="O319">
        <f>(Table1[[#This Row],[P]]&lt;&gt;0)*(Table1[[#This Row],[C]]&lt;&gt;0)</f>
        <v>0</v>
      </c>
      <c r="P319">
        <f>NETWORKDAYS(Table1[[#This Row],[ts_event]],Table1[[#This Row],[option_expiry_date]])</f>
        <v>66</v>
      </c>
      <c r="Q319">
        <f>Table1[[#This Row],[Column2]]/252</f>
        <v>0.26190476190476192</v>
      </c>
      <c r="R319" s="2" t="e">
        <f>IF(Table1[[#This Row],[CHECK2]]=0,NA(),
-(1/Table1[[#This Row],[T]])*LN((Table1[[#This Row],[S0]]-Table1[[#This Row],[C]]+Table1[[#This Row],[P]])/Table1[[#This Row],[K]])
)</f>
        <v>#N/A</v>
      </c>
    </row>
    <row r="320" spans="1:18">
      <c r="A320">
        <v>1</v>
      </c>
      <c r="B320" t="s">
        <v>10</v>
      </c>
      <c r="C320" s="1">
        <v>46139</v>
      </c>
      <c r="D320" t="s">
        <v>17</v>
      </c>
      <c r="E320">
        <v>50</v>
      </c>
      <c r="F320" t="s">
        <v>12</v>
      </c>
      <c r="G320" t="s">
        <v>13</v>
      </c>
      <c r="H320" s="1">
        <v>46260</v>
      </c>
      <c r="I320">
        <v>0</v>
      </c>
      <c r="J320">
        <v>5.74</v>
      </c>
      <c r="K320">
        <v>0</v>
      </c>
      <c r="L320">
        <v>375</v>
      </c>
      <c r="M320">
        <v>44.475323598630702</v>
      </c>
      <c r="N320">
        <v>1.9319999999999999</v>
      </c>
      <c r="O320">
        <f>(Table1[[#This Row],[P]]&lt;&gt;0)*(Table1[[#This Row],[C]]&lt;&gt;0)</f>
        <v>0</v>
      </c>
      <c r="P320">
        <f>NETWORKDAYS(Table1[[#This Row],[ts_event]],Table1[[#This Row],[option_expiry_date]])</f>
        <v>88</v>
      </c>
      <c r="Q320">
        <f>Table1[[#This Row],[Column2]]/252</f>
        <v>0.34920634920634919</v>
      </c>
      <c r="R320" s="2" t="e">
        <f>IF(Table1[[#This Row],[CHECK2]]=0,NA(),
-(1/Table1[[#This Row],[T]])*LN((Table1[[#This Row],[S0]]-Table1[[#This Row],[C]]+Table1[[#This Row],[P]])/Table1[[#This Row],[K]])
)</f>
        <v>#N/A</v>
      </c>
    </row>
    <row r="321" spans="1:18">
      <c r="A321">
        <v>1</v>
      </c>
      <c r="B321" t="s">
        <v>10</v>
      </c>
      <c r="C321" s="1">
        <v>46139</v>
      </c>
      <c r="D321" t="s">
        <v>18</v>
      </c>
      <c r="E321">
        <v>38</v>
      </c>
      <c r="F321" t="s">
        <v>12</v>
      </c>
      <c r="G321" t="s">
        <v>13</v>
      </c>
      <c r="H321" s="1">
        <v>46290</v>
      </c>
      <c r="I321">
        <v>3.9249999999999998</v>
      </c>
      <c r="J321">
        <v>0</v>
      </c>
      <c r="K321">
        <v>1100</v>
      </c>
      <c r="L321">
        <v>0</v>
      </c>
      <c r="M321">
        <v>44.300025270393199</v>
      </c>
      <c r="N321">
        <v>1.9319999999999999</v>
      </c>
      <c r="O321">
        <f>(Table1[[#This Row],[P]]&lt;&gt;0)*(Table1[[#This Row],[C]]&lt;&gt;0)</f>
        <v>0</v>
      </c>
      <c r="P321">
        <f>NETWORKDAYS(Table1[[#This Row],[ts_event]],Table1[[#This Row],[option_expiry_date]])</f>
        <v>110</v>
      </c>
      <c r="Q321">
        <f>Table1[[#This Row],[Column2]]/252</f>
        <v>0.43650793650793651</v>
      </c>
      <c r="R321" s="2" t="e">
        <f>IF(Table1[[#This Row],[CHECK2]]=0,NA(),
-(1/Table1[[#This Row],[T]])*LN((Table1[[#This Row],[S0]]-Table1[[#This Row],[C]]+Table1[[#This Row],[P]])/Table1[[#This Row],[K]])
)</f>
        <v>#N/A</v>
      </c>
    </row>
    <row r="322" spans="1:18">
      <c r="A322">
        <v>1</v>
      </c>
      <c r="B322" t="s">
        <v>10</v>
      </c>
      <c r="C322" s="1">
        <v>46139</v>
      </c>
      <c r="D322" t="s">
        <v>18</v>
      </c>
      <c r="E322">
        <v>45</v>
      </c>
      <c r="F322" t="s">
        <v>12</v>
      </c>
      <c r="G322" t="s">
        <v>13</v>
      </c>
      <c r="H322" s="1">
        <v>46290</v>
      </c>
      <c r="I322">
        <v>0</v>
      </c>
      <c r="J322">
        <v>7.4249999999999998</v>
      </c>
      <c r="K322">
        <v>0</v>
      </c>
      <c r="L322">
        <v>250</v>
      </c>
      <c r="M322">
        <v>44.300025270393199</v>
      </c>
      <c r="N322">
        <v>1.9319999999999999</v>
      </c>
      <c r="O322">
        <f>(Table1[[#This Row],[P]]&lt;&gt;0)*(Table1[[#This Row],[C]]&lt;&gt;0)</f>
        <v>0</v>
      </c>
      <c r="P322">
        <f>NETWORKDAYS(Table1[[#This Row],[ts_event]],Table1[[#This Row],[option_expiry_date]])</f>
        <v>110</v>
      </c>
      <c r="Q322">
        <f>Table1[[#This Row],[Column2]]/252</f>
        <v>0.43650793650793651</v>
      </c>
      <c r="R322" s="2" t="e">
        <f>IF(Table1[[#This Row],[CHECK2]]=0,NA(),
-(1/Table1[[#This Row],[T]])*LN((Table1[[#This Row],[S0]]-Table1[[#This Row],[C]]+Table1[[#This Row],[P]])/Table1[[#This Row],[K]])
)</f>
        <v>#N/A</v>
      </c>
    </row>
    <row r="323" spans="1:18">
      <c r="A323">
        <v>1</v>
      </c>
      <c r="B323" t="s">
        <v>10</v>
      </c>
      <c r="C323" s="1">
        <v>46139</v>
      </c>
      <c r="D323" t="s">
        <v>18</v>
      </c>
      <c r="E323">
        <v>55</v>
      </c>
      <c r="F323" t="s">
        <v>12</v>
      </c>
      <c r="G323" t="s">
        <v>13</v>
      </c>
      <c r="H323" s="1">
        <v>46290</v>
      </c>
      <c r="I323">
        <v>0</v>
      </c>
      <c r="J323">
        <v>5.1100000000000003</v>
      </c>
      <c r="K323">
        <v>0</v>
      </c>
      <c r="L323">
        <v>900</v>
      </c>
      <c r="M323">
        <v>44.300025270393199</v>
      </c>
      <c r="N323">
        <v>1.9319999999999999</v>
      </c>
      <c r="O323">
        <f>(Table1[[#This Row],[P]]&lt;&gt;0)*(Table1[[#This Row],[C]]&lt;&gt;0)</f>
        <v>0</v>
      </c>
      <c r="P323">
        <f>NETWORKDAYS(Table1[[#This Row],[ts_event]],Table1[[#This Row],[option_expiry_date]])</f>
        <v>110</v>
      </c>
      <c r="Q323">
        <f>Table1[[#This Row],[Column2]]/252</f>
        <v>0.43650793650793651</v>
      </c>
      <c r="R323" s="2" t="e">
        <f>IF(Table1[[#This Row],[CHECK2]]=0,NA(),
-(1/Table1[[#This Row],[T]])*LN((Table1[[#This Row],[S0]]-Table1[[#This Row],[C]]+Table1[[#This Row],[P]])/Table1[[#This Row],[K]])
)</f>
        <v>#N/A</v>
      </c>
    </row>
    <row r="324" spans="1:18">
      <c r="A324">
        <v>1</v>
      </c>
      <c r="B324" t="s">
        <v>10</v>
      </c>
      <c r="C324" s="1">
        <v>46139</v>
      </c>
      <c r="D324" t="s">
        <v>18</v>
      </c>
      <c r="E324">
        <v>65</v>
      </c>
      <c r="F324" t="s">
        <v>12</v>
      </c>
      <c r="G324" t="s">
        <v>13</v>
      </c>
      <c r="H324" s="1">
        <v>46290</v>
      </c>
      <c r="I324">
        <v>0</v>
      </c>
      <c r="J324">
        <v>3.65</v>
      </c>
      <c r="K324">
        <v>0</v>
      </c>
      <c r="L324">
        <v>750</v>
      </c>
      <c r="M324">
        <v>44.300025270393199</v>
      </c>
      <c r="N324">
        <v>1.9319999999999999</v>
      </c>
      <c r="O324">
        <f>(Table1[[#This Row],[P]]&lt;&gt;0)*(Table1[[#This Row],[C]]&lt;&gt;0)</f>
        <v>0</v>
      </c>
      <c r="P324">
        <f>NETWORKDAYS(Table1[[#This Row],[ts_event]],Table1[[#This Row],[option_expiry_date]])</f>
        <v>110</v>
      </c>
      <c r="Q324">
        <f>Table1[[#This Row],[Column2]]/252</f>
        <v>0.43650793650793651</v>
      </c>
      <c r="R324" s="2" t="e">
        <f>IF(Table1[[#This Row],[CHECK2]]=0,NA(),
-(1/Table1[[#This Row],[T]])*LN((Table1[[#This Row],[S0]]-Table1[[#This Row],[C]]+Table1[[#This Row],[P]])/Table1[[#This Row],[K]])
)</f>
        <v>#N/A</v>
      </c>
    </row>
    <row r="325" spans="1:18">
      <c r="A325">
        <v>1</v>
      </c>
      <c r="B325" t="s">
        <v>10</v>
      </c>
      <c r="C325" s="1">
        <v>46139</v>
      </c>
      <c r="D325" t="s">
        <v>22</v>
      </c>
      <c r="E325">
        <v>90</v>
      </c>
      <c r="F325" t="s">
        <v>12</v>
      </c>
      <c r="G325" t="s">
        <v>13</v>
      </c>
      <c r="H325" s="1">
        <v>46442</v>
      </c>
      <c r="I325">
        <v>0</v>
      </c>
      <c r="J325">
        <v>4.07</v>
      </c>
      <c r="K325">
        <v>0</v>
      </c>
      <c r="L325">
        <v>300</v>
      </c>
      <c r="M325">
        <v>42.435000000000002</v>
      </c>
      <c r="N325">
        <v>1.9319999999999999</v>
      </c>
      <c r="O325">
        <f>(Table1[[#This Row],[P]]&lt;&gt;0)*(Table1[[#This Row],[C]]&lt;&gt;0)</f>
        <v>0</v>
      </c>
      <c r="P325">
        <f>NETWORKDAYS(Table1[[#This Row],[ts_event]],Table1[[#This Row],[option_expiry_date]])</f>
        <v>218</v>
      </c>
      <c r="Q325">
        <f>Table1[[#This Row],[Column2]]/252</f>
        <v>0.86507936507936511</v>
      </c>
      <c r="R325" s="2" t="e">
        <f>IF(Table1[[#This Row],[CHECK2]]=0,NA(),
-(1/Table1[[#This Row],[T]])*LN((Table1[[#This Row],[S0]]-Table1[[#This Row],[C]]+Table1[[#This Row],[P]])/Table1[[#This Row],[K]])
)</f>
        <v>#N/A</v>
      </c>
    </row>
    <row r="326" spans="1:18">
      <c r="A326">
        <v>1</v>
      </c>
      <c r="B326" t="s">
        <v>10</v>
      </c>
      <c r="C326" s="1">
        <v>46139</v>
      </c>
      <c r="D326" t="s">
        <v>22</v>
      </c>
      <c r="E326">
        <v>100</v>
      </c>
      <c r="F326" t="s">
        <v>12</v>
      </c>
      <c r="G326" t="s">
        <v>13</v>
      </c>
      <c r="H326" s="1">
        <v>46442</v>
      </c>
      <c r="I326">
        <v>0</v>
      </c>
      <c r="J326">
        <v>3.5449999999999999</v>
      </c>
      <c r="K326">
        <v>0</v>
      </c>
      <c r="L326">
        <v>300</v>
      </c>
      <c r="M326">
        <v>42.435000000000002</v>
      </c>
      <c r="N326">
        <v>1.9319999999999999</v>
      </c>
      <c r="O326">
        <f>(Table1[[#This Row],[P]]&lt;&gt;0)*(Table1[[#This Row],[C]]&lt;&gt;0)</f>
        <v>0</v>
      </c>
      <c r="P326">
        <f>NETWORKDAYS(Table1[[#This Row],[ts_event]],Table1[[#This Row],[option_expiry_date]])</f>
        <v>218</v>
      </c>
      <c r="Q326">
        <f>Table1[[#This Row],[Column2]]/252</f>
        <v>0.86507936507936511</v>
      </c>
      <c r="R326" s="2" t="e">
        <f>IF(Table1[[#This Row],[CHECK2]]=0,NA(),
-(1/Table1[[#This Row],[T]])*LN((Table1[[#This Row],[S0]]-Table1[[#This Row],[C]]+Table1[[#This Row],[P]])/Table1[[#This Row],[K]])
)</f>
        <v>#N/A</v>
      </c>
    </row>
    <row r="327" spans="1:18">
      <c r="A327">
        <v>1</v>
      </c>
      <c r="B327" t="s">
        <v>10</v>
      </c>
      <c r="C327" s="1">
        <v>46140</v>
      </c>
      <c r="D327" t="s">
        <v>14</v>
      </c>
      <c r="E327">
        <v>24</v>
      </c>
      <c r="F327" t="s">
        <v>12</v>
      </c>
      <c r="G327" t="s">
        <v>13</v>
      </c>
      <c r="H327" s="1">
        <v>46169</v>
      </c>
      <c r="I327">
        <v>0.06</v>
      </c>
      <c r="J327">
        <v>0</v>
      </c>
      <c r="K327">
        <v>75</v>
      </c>
      <c r="L327">
        <v>0</v>
      </c>
      <c r="M327">
        <v>43.485803503427199</v>
      </c>
      <c r="N327">
        <v>1.9319999999999999</v>
      </c>
      <c r="O327">
        <f>(Table1[[#This Row],[P]]&lt;&gt;0)*(Table1[[#This Row],[C]]&lt;&gt;0)</f>
        <v>0</v>
      </c>
      <c r="P327">
        <f>NETWORKDAYS(Table1[[#This Row],[ts_event]],Table1[[#This Row],[option_expiry_date]])</f>
        <v>22</v>
      </c>
      <c r="Q327">
        <f>Table1[[#This Row],[Column2]]/252</f>
        <v>8.7301587301587297E-2</v>
      </c>
      <c r="R327" s="2" t="e">
        <f>IF(Table1[[#This Row],[CHECK2]]=0,NA(),
-(1/Table1[[#This Row],[T]])*LN((Table1[[#This Row],[S0]]-Table1[[#This Row],[C]]+Table1[[#This Row],[P]])/Table1[[#This Row],[K]])
)</f>
        <v>#N/A</v>
      </c>
    </row>
    <row r="328" spans="1:18">
      <c r="A328">
        <v>1</v>
      </c>
      <c r="B328" t="s">
        <v>10</v>
      </c>
      <c r="C328" s="1">
        <v>46140</v>
      </c>
      <c r="D328" t="s">
        <v>14</v>
      </c>
      <c r="E328">
        <v>25</v>
      </c>
      <c r="F328" t="s">
        <v>12</v>
      </c>
      <c r="G328" t="s">
        <v>13</v>
      </c>
      <c r="H328" s="1">
        <v>46169</v>
      </c>
      <c r="I328">
        <v>0.1</v>
      </c>
      <c r="J328">
        <v>0</v>
      </c>
      <c r="K328">
        <v>50</v>
      </c>
      <c r="L328">
        <v>0</v>
      </c>
      <c r="M328">
        <v>43.485803503427199</v>
      </c>
      <c r="N328">
        <v>1.9319999999999999</v>
      </c>
      <c r="O328">
        <f>(Table1[[#This Row],[P]]&lt;&gt;0)*(Table1[[#This Row],[C]]&lt;&gt;0)</f>
        <v>0</v>
      </c>
      <c r="P328">
        <f>NETWORKDAYS(Table1[[#This Row],[ts_event]],Table1[[#This Row],[option_expiry_date]])</f>
        <v>22</v>
      </c>
      <c r="Q328">
        <f>Table1[[#This Row],[Column2]]/252</f>
        <v>8.7301587301587297E-2</v>
      </c>
      <c r="R328" s="2" t="e">
        <f>IF(Table1[[#This Row],[CHECK2]]=0,NA(),
-(1/Table1[[#This Row],[T]])*LN((Table1[[#This Row],[S0]]-Table1[[#This Row],[C]]+Table1[[#This Row],[P]])/Table1[[#This Row],[K]])
)</f>
        <v>#N/A</v>
      </c>
    </row>
    <row r="329" spans="1:18">
      <c r="A329">
        <v>1</v>
      </c>
      <c r="B329" t="s">
        <v>10</v>
      </c>
      <c r="C329" s="1">
        <v>46140</v>
      </c>
      <c r="D329" t="s">
        <v>14</v>
      </c>
      <c r="E329">
        <v>26</v>
      </c>
      <c r="F329" t="s">
        <v>12</v>
      </c>
      <c r="G329" t="s">
        <v>13</v>
      </c>
      <c r="H329" s="1">
        <v>46169</v>
      </c>
      <c r="I329">
        <v>0.09</v>
      </c>
      <c r="J329">
        <v>0</v>
      </c>
      <c r="K329">
        <v>800</v>
      </c>
      <c r="L329">
        <v>0</v>
      </c>
      <c r="M329">
        <v>43.485803503427199</v>
      </c>
      <c r="N329">
        <v>1.9319999999999999</v>
      </c>
      <c r="O329">
        <f>(Table1[[#This Row],[P]]&lt;&gt;0)*(Table1[[#This Row],[C]]&lt;&gt;0)</f>
        <v>0</v>
      </c>
      <c r="P329">
        <f>NETWORKDAYS(Table1[[#This Row],[ts_event]],Table1[[#This Row],[option_expiry_date]])</f>
        <v>22</v>
      </c>
      <c r="Q329">
        <f>Table1[[#This Row],[Column2]]/252</f>
        <v>8.7301587301587297E-2</v>
      </c>
      <c r="R329" s="2" t="e">
        <f>IF(Table1[[#This Row],[CHECK2]]=0,NA(),
-(1/Table1[[#This Row],[T]])*LN((Table1[[#This Row],[S0]]-Table1[[#This Row],[C]]+Table1[[#This Row],[P]])/Table1[[#This Row],[K]])
)</f>
        <v>#N/A</v>
      </c>
    </row>
    <row r="330" spans="1:18">
      <c r="A330">
        <v>1</v>
      </c>
      <c r="B330" t="s">
        <v>10</v>
      </c>
      <c r="C330" s="1">
        <v>46140</v>
      </c>
      <c r="D330" t="s">
        <v>14</v>
      </c>
      <c r="E330">
        <v>27</v>
      </c>
      <c r="F330" t="s">
        <v>12</v>
      </c>
      <c r="G330" t="s">
        <v>13</v>
      </c>
      <c r="H330" s="1">
        <v>46169</v>
      </c>
      <c r="I330">
        <v>7.4999999999999997E-2</v>
      </c>
      <c r="J330">
        <v>0</v>
      </c>
      <c r="K330">
        <v>250</v>
      </c>
      <c r="L330">
        <v>0</v>
      </c>
      <c r="M330">
        <v>43.485803503427199</v>
      </c>
      <c r="N330">
        <v>1.9319999999999999</v>
      </c>
      <c r="O330">
        <f>(Table1[[#This Row],[P]]&lt;&gt;0)*(Table1[[#This Row],[C]]&lt;&gt;0)</f>
        <v>0</v>
      </c>
      <c r="P330">
        <f>NETWORKDAYS(Table1[[#This Row],[ts_event]],Table1[[#This Row],[option_expiry_date]])</f>
        <v>22</v>
      </c>
      <c r="Q330">
        <f>Table1[[#This Row],[Column2]]/252</f>
        <v>8.7301587301587297E-2</v>
      </c>
      <c r="R330" s="2" t="e">
        <f>IF(Table1[[#This Row],[CHECK2]]=0,NA(),
-(1/Table1[[#This Row],[T]])*LN((Table1[[#This Row],[S0]]-Table1[[#This Row],[C]]+Table1[[#This Row],[P]])/Table1[[#This Row],[K]])
)</f>
        <v>#N/A</v>
      </c>
    </row>
    <row r="331" spans="1:18">
      <c r="A331">
        <v>2</v>
      </c>
      <c r="B331" t="s">
        <v>10</v>
      </c>
      <c r="C331" s="1">
        <v>46140</v>
      </c>
      <c r="D331" t="s">
        <v>14</v>
      </c>
      <c r="E331">
        <v>30</v>
      </c>
      <c r="F331" t="s">
        <v>12</v>
      </c>
      <c r="G331" t="s">
        <v>13</v>
      </c>
      <c r="H331" s="1">
        <v>46169</v>
      </c>
      <c r="I331">
        <v>0.15</v>
      </c>
      <c r="J331">
        <v>0</v>
      </c>
      <c r="K331">
        <v>750</v>
      </c>
      <c r="L331">
        <v>0</v>
      </c>
      <c r="M331">
        <v>43.485803503427199</v>
      </c>
      <c r="N331">
        <v>1.9319999999999999</v>
      </c>
      <c r="O331">
        <f>(Table1[[#This Row],[P]]&lt;&gt;0)*(Table1[[#This Row],[C]]&lt;&gt;0)</f>
        <v>0</v>
      </c>
      <c r="P331">
        <f>NETWORKDAYS(Table1[[#This Row],[ts_event]],Table1[[#This Row],[option_expiry_date]])</f>
        <v>22</v>
      </c>
      <c r="Q331">
        <f>Table1[[#This Row],[Column2]]/252</f>
        <v>8.7301587301587297E-2</v>
      </c>
      <c r="R331" s="2" t="e">
        <f>IF(Table1[[#This Row],[CHECK2]]=0,NA(),
-(1/Table1[[#This Row],[T]])*LN((Table1[[#This Row],[S0]]-Table1[[#This Row],[C]]+Table1[[#This Row],[P]])/Table1[[#This Row],[K]])
)</f>
        <v>#N/A</v>
      </c>
    </row>
    <row r="332" spans="1:18">
      <c r="A332">
        <v>2</v>
      </c>
      <c r="B332" t="s">
        <v>10</v>
      </c>
      <c r="C332" s="1">
        <v>46140</v>
      </c>
      <c r="D332" t="s">
        <v>14</v>
      </c>
      <c r="E332">
        <v>32</v>
      </c>
      <c r="F332" t="s">
        <v>12</v>
      </c>
      <c r="G332" t="s">
        <v>13</v>
      </c>
      <c r="H332" s="1">
        <v>46169</v>
      </c>
      <c r="I332">
        <v>0.195833333333333</v>
      </c>
      <c r="J332">
        <v>0</v>
      </c>
      <c r="K332">
        <v>600</v>
      </c>
      <c r="L332">
        <v>0</v>
      </c>
      <c r="M332">
        <v>43.485803503427199</v>
      </c>
      <c r="N332">
        <v>1.9319999999999999</v>
      </c>
      <c r="O332">
        <f>(Table1[[#This Row],[P]]&lt;&gt;0)*(Table1[[#This Row],[C]]&lt;&gt;0)</f>
        <v>0</v>
      </c>
      <c r="P332">
        <f>NETWORKDAYS(Table1[[#This Row],[ts_event]],Table1[[#This Row],[option_expiry_date]])</f>
        <v>22</v>
      </c>
      <c r="Q332">
        <f>Table1[[#This Row],[Column2]]/252</f>
        <v>8.7301587301587297E-2</v>
      </c>
      <c r="R332" s="2" t="e">
        <f>IF(Table1[[#This Row],[CHECK2]]=0,NA(),
-(1/Table1[[#This Row],[T]])*LN((Table1[[#This Row],[S0]]-Table1[[#This Row],[C]]+Table1[[#This Row],[P]])/Table1[[#This Row],[K]])
)</f>
        <v>#N/A</v>
      </c>
    </row>
    <row r="333" spans="1:18">
      <c r="A333">
        <v>2</v>
      </c>
      <c r="B333" t="s">
        <v>10</v>
      </c>
      <c r="C333" s="1">
        <v>46140</v>
      </c>
      <c r="D333" t="s">
        <v>14</v>
      </c>
      <c r="E333">
        <v>35</v>
      </c>
      <c r="F333" t="s">
        <v>12</v>
      </c>
      <c r="G333" t="s">
        <v>13</v>
      </c>
      <c r="H333" s="1">
        <v>46169</v>
      </c>
      <c r="I333">
        <v>0.58857142857142797</v>
      </c>
      <c r="J333">
        <v>0</v>
      </c>
      <c r="K333">
        <v>1750</v>
      </c>
      <c r="L333">
        <v>0</v>
      </c>
      <c r="M333">
        <v>43.485803503427199</v>
      </c>
      <c r="N333">
        <v>1.9319999999999999</v>
      </c>
      <c r="O333">
        <f>(Table1[[#This Row],[P]]&lt;&gt;0)*(Table1[[#This Row],[C]]&lt;&gt;0)</f>
        <v>0</v>
      </c>
      <c r="P333">
        <f>NETWORKDAYS(Table1[[#This Row],[ts_event]],Table1[[#This Row],[option_expiry_date]])</f>
        <v>22</v>
      </c>
      <c r="Q333">
        <f>Table1[[#This Row],[Column2]]/252</f>
        <v>8.7301587301587297E-2</v>
      </c>
      <c r="R333" s="2" t="e">
        <f>IF(Table1[[#This Row],[CHECK2]]=0,NA(),
-(1/Table1[[#This Row],[T]])*LN((Table1[[#This Row],[S0]]-Table1[[#This Row],[C]]+Table1[[#This Row],[P]])/Table1[[#This Row],[K]])
)</f>
        <v>#N/A</v>
      </c>
    </row>
    <row r="334" spans="1:18">
      <c r="A334">
        <v>1</v>
      </c>
      <c r="B334" t="s">
        <v>10</v>
      </c>
      <c r="C334" s="1">
        <v>46140</v>
      </c>
      <c r="D334" t="s">
        <v>14</v>
      </c>
      <c r="E334">
        <v>37</v>
      </c>
      <c r="F334" t="s">
        <v>12</v>
      </c>
      <c r="G334" t="s">
        <v>13</v>
      </c>
      <c r="H334" s="1">
        <v>46169</v>
      </c>
      <c r="I334">
        <v>0.95</v>
      </c>
      <c r="J334">
        <v>0</v>
      </c>
      <c r="K334">
        <v>200</v>
      </c>
      <c r="L334">
        <v>0</v>
      </c>
      <c r="M334">
        <v>43.485803503427199</v>
      </c>
      <c r="N334">
        <v>1.9319999999999999</v>
      </c>
      <c r="O334">
        <f>(Table1[[#This Row],[P]]&lt;&gt;0)*(Table1[[#This Row],[C]]&lt;&gt;0)</f>
        <v>0</v>
      </c>
      <c r="P334">
        <f>NETWORKDAYS(Table1[[#This Row],[ts_event]],Table1[[#This Row],[option_expiry_date]])</f>
        <v>22</v>
      </c>
      <c r="Q334">
        <f>Table1[[#This Row],[Column2]]/252</f>
        <v>8.7301587301587297E-2</v>
      </c>
      <c r="R334" s="2" t="e">
        <f>IF(Table1[[#This Row],[CHECK2]]=0,NA(),
-(1/Table1[[#This Row],[T]])*LN((Table1[[#This Row],[S0]]-Table1[[#This Row],[C]]+Table1[[#This Row],[P]])/Table1[[#This Row],[K]])
)</f>
        <v>#N/A</v>
      </c>
    </row>
    <row r="335" spans="1:18">
      <c r="A335">
        <v>1</v>
      </c>
      <c r="B335" t="s">
        <v>10</v>
      </c>
      <c r="C335" s="1">
        <v>46140</v>
      </c>
      <c r="D335" t="s">
        <v>14</v>
      </c>
      <c r="E335">
        <v>38</v>
      </c>
      <c r="F335" t="s">
        <v>12</v>
      </c>
      <c r="G335" t="s">
        <v>13</v>
      </c>
      <c r="H335" s="1">
        <v>46169</v>
      </c>
      <c r="I335">
        <v>1.2</v>
      </c>
      <c r="J335">
        <v>0</v>
      </c>
      <c r="K335">
        <v>150</v>
      </c>
      <c r="L335">
        <v>0</v>
      </c>
      <c r="M335">
        <v>43.485803503427199</v>
      </c>
      <c r="N335">
        <v>1.9319999999999999</v>
      </c>
      <c r="O335">
        <f>(Table1[[#This Row],[P]]&lt;&gt;0)*(Table1[[#This Row],[C]]&lt;&gt;0)</f>
        <v>0</v>
      </c>
      <c r="P335">
        <f>NETWORKDAYS(Table1[[#This Row],[ts_event]],Table1[[#This Row],[option_expiry_date]])</f>
        <v>22</v>
      </c>
      <c r="Q335">
        <f>Table1[[#This Row],[Column2]]/252</f>
        <v>8.7301587301587297E-2</v>
      </c>
      <c r="R335" s="2" t="e">
        <f>IF(Table1[[#This Row],[CHECK2]]=0,NA(),
-(1/Table1[[#This Row],[T]])*LN((Table1[[#This Row],[S0]]-Table1[[#This Row],[C]]+Table1[[#This Row],[P]])/Table1[[#This Row],[K]])
)</f>
        <v>#N/A</v>
      </c>
    </row>
    <row r="336" spans="1:18">
      <c r="A336">
        <v>1</v>
      </c>
      <c r="B336" t="s">
        <v>10</v>
      </c>
      <c r="C336" s="1">
        <v>46140</v>
      </c>
      <c r="D336" t="s">
        <v>14</v>
      </c>
      <c r="E336">
        <v>39</v>
      </c>
      <c r="F336" t="s">
        <v>12</v>
      </c>
      <c r="G336" t="s">
        <v>13</v>
      </c>
      <c r="H336" s="1">
        <v>46169</v>
      </c>
      <c r="I336">
        <v>1.3</v>
      </c>
      <c r="J336">
        <v>0</v>
      </c>
      <c r="K336">
        <v>2200</v>
      </c>
      <c r="L336">
        <v>0</v>
      </c>
      <c r="M336">
        <v>43.485803503427199</v>
      </c>
      <c r="N336">
        <v>1.9319999999999999</v>
      </c>
      <c r="O336">
        <f>(Table1[[#This Row],[P]]&lt;&gt;0)*(Table1[[#This Row],[C]]&lt;&gt;0)</f>
        <v>0</v>
      </c>
      <c r="P336">
        <f>NETWORKDAYS(Table1[[#This Row],[ts_event]],Table1[[#This Row],[option_expiry_date]])</f>
        <v>22</v>
      </c>
      <c r="Q336">
        <f>Table1[[#This Row],[Column2]]/252</f>
        <v>8.7301587301587297E-2</v>
      </c>
      <c r="R336" s="2" t="e">
        <f>IF(Table1[[#This Row],[CHECK2]]=0,NA(),
-(1/Table1[[#This Row],[T]])*LN((Table1[[#This Row],[S0]]-Table1[[#This Row],[C]]+Table1[[#This Row],[P]])/Table1[[#This Row],[K]])
)</f>
        <v>#N/A</v>
      </c>
    </row>
    <row r="337" spans="1:18">
      <c r="A337">
        <v>2</v>
      </c>
      <c r="B337" t="s">
        <v>10</v>
      </c>
      <c r="C337" s="1">
        <v>46140</v>
      </c>
      <c r="D337" t="s">
        <v>14</v>
      </c>
      <c r="E337">
        <v>40</v>
      </c>
      <c r="F337" t="s">
        <v>12</v>
      </c>
      <c r="G337" t="s">
        <v>13</v>
      </c>
      <c r="H337" s="1">
        <v>46169</v>
      </c>
      <c r="I337">
        <v>1.97528301886792</v>
      </c>
      <c r="J337">
        <v>0</v>
      </c>
      <c r="K337">
        <v>2650</v>
      </c>
      <c r="L337">
        <v>0</v>
      </c>
      <c r="M337">
        <v>43.485803503427199</v>
      </c>
      <c r="N337">
        <v>1.9319999999999999</v>
      </c>
      <c r="O337">
        <f>(Table1[[#This Row],[P]]&lt;&gt;0)*(Table1[[#This Row],[C]]&lt;&gt;0)</f>
        <v>0</v>
      </c>
      <c r="P337">
        <f>NETWORKDAYS(Table1[[#This Row],[ts_event]],Table1[[#This Row],[option_expiry_date]])</f>
        <v>22</v>
      </c>
      <c r="Q337">
        <f>Table1[[#This Row],[Column2]]/252</f>
        <v>8.7301587301587297E-2</v>
      </c>
      <c r="R337" s="2" t="e">
        <f>IF(Table1[[#This Row],[CHECK2]]=0,NA(),
-(1/Table1[[#This Row],[T]])*LN((Table1[[#This Row],[S0]]-Table1[[#This Row],[C]]+Table1[[#This Row],[P]])/Table1[[#This Row],[K]])
)</f>
        <v>#N/A</v>
      </c>
    </row>
    <row r="338" spans="1:18">
      <c r="A338">
        <v>2</v>
      </c>
      <c r="B338" t="s">
        <v>10</v>
      </c>
      <c r="C338" s="1">
        <v>46140</v>
      </c>
      <c r="D338" t="s">
        <v>14</v>
      </c>
      <c r="E338">
        <v>42</v>
      </c>
      <c r="F338" t="s">
        <v>12</v>
      </c>
      <c r="G338" t="s">
        <v>13</v>
      </c>
      <c r="H338" s="1">
        <v>46169</v>
      </c>
      <c r="I338">
        <v>2.4812500000000002</v>
      </c>
      <c r="J338">
        <v>0</v>
      </c>
      <c r="K338">
        <v>800</v>
      </c>
      <c r="L338">
        <v>0</v>
      </c>
      <c r="M338">
        <v>43.485803503427199</v>
      </c>
      <c r="N338">
        <v>1.9319999999999999</v>
      </c>
      <c r="O338">
        <f>(Table1[[#This Row],[P]]&lt;&gt;0)*(Table1[[#This Row],[C]]&lt;&gt;0)</f>
        <v>0</v>
      </c>
      <c r="P338">
        <f>NETWORKDAYS(Table1[[#This Row],[ts_event]],Table1[[#This Row],[option_expiry_date]])</f>
        <v>22</v>
      </c>
      <c r="Q338">
        <f>Table1[[#This Row],[Column2]]/252</f>
        <v>8.7301587301587297E-2</v>
      </c>
      <c r="R338" s="2" t="e">
        <f>IF(Table1[[#This Row],[CHECK2]]=0,NA(),
-(1/Table1[[#This Row],[T]])*LN((Table1[[#This Row],[S0]]-Table1[[#This Row],[C]]+Table1[[#This Row],[P]])/Table1[[#This Row],[K]])
)</f>
        <v>#N/A</v>
      </c>
    </row>
    <row r="339" spans="1:18">
      <c r="A339">
        <v>3</v>
      </c>
      <c r="B339" t="s">
        <v>10</v>
      </c>
      <c r="C339" s="1">
        <v>46140</v>
      </c>
      <c r="D339" t="s">
        <v>14</v>
      </c>
      <c r="E339">
        <v>44</v>
      </c>
      <c r="F339" t="s">
        <v>12</v>
      </c>
      <c r="G339" t="s">
        <v>13</v>
      </c>
      <c r="H339" s="1">
        <v>46169</v>
      </c>
      <c r="I339">
        <v>3.8559829059828998</v>
      </c>
      <c r="J339">
        <v>3.85</v>
      </c>
      <c r="K339">
        <v>585</v>
      </c>
      <c r="L339">
        <v>240</v>
      </c>
      <c r="M339">
        <v>43.485803503427199</v>
      </c>
      <c r="N339">
        <v>1.9319999999999999</v>
      </c>
      <c r="O339">
        <f>(Table1[[#This Row],[P]]&lt;&gt;0)*(Table1[[#This Row],[C]]&lt;&gt;0)</f>
        <v>1</v>
      </c>
      <c r="P339">
        <f>NETWORKDAYS(Table1[[#This Row],[ts_event]],Table1[[#This Row],[option_expiry_date]])</f>
        <v>22</v>
      </c>
      <c r="Q339">
        <f>Table1[[#This Row],[Column2]]/252</f>
        <v>8.7301587301587297E-2</v>
      </c>
      <c r="R339" s="2">
        <f>IF(Table1[[#This Row],[CHECK2]]=0,NA(),
-(1/Table1[[#This Row],[T]])*LN((Table1[[#This Row],[S0]]-Table1[[#This Row],[C]]+Table1[[#This Row],[P]])/Table1[[#This Row],[K]])
)</f>
        <v>0.13307354637626145</v>
      </c>
    </row>
    <row r="340" spans="1:18">
      <c r="A340">
        <v>4</v>
      </c>
      <c r="B340" t="s">
        <v>10</v>
      </c>
      <c r="C340" s="1">
        <v>46140</v>
      </c>
      <c r="D340" t="s">
        <v>14</v>
      </c>
      <c r="E340">
        <v>45</v>
      </c>
      <c r="F340" t="s">
        <v>12</v>
      </c>
      <c r="G340" t="s">
        <v>13</v>
      </c>
      <c r="H340" s="1">
        <v>46169</v>
      </c>
      <c r="I340">
        <v>4.2098245614034999</v>
      </c>
      <c r="J340">
        <v>3.43</v>
      </c>
      <c r="K340">
        <v>1425</v>
      </c>
      <c r="L340">
        <v>715</v>
      </c>
      <c r="M340">
        <v>43.485803503427199</v>
      </c>
      <c r="N340">
        <v>1.9319999999999999</v>
      </c>
      <c r="O340">
        <f>(Table1[[#This Row],[P]]&lt;&gt;0)*(Table1[[#This Row],[C]]&lt;&gt;0)</f>
        <v>1</v>
      </c>
      <c r="P340">
        <f>NETWORKDAYS(Table1[[#This Row],[ts_event]],Table1[[#This Row],[option_expiry_date]])</f>
        <v>22</v>
      </c>
      <c r="Q340">
        <f>Table1[[#This Row],[Column2]]/252</f>
        <v>8.7301587301587297E-2</v>
      </c>
      <c r="R340" s="2">
        <f>IF(Table1[[#This Row],[CHECK2]]=0,NA(),
-(1/Table1[[#This Row],[T]])*LN((Table1[[#This Row],[S0]]-Table1[[#This Row],[C]]+Table1[[#This Row],[P]])/Table1[[#This Row],[K]])
)</f>
        <v>0.18847313743991642</v>
      </c>
    </row>
    <row r="341" spans="1:18">
      <c r="A341">
        <v>2</v>
      </c>
      <c r="B341" t="s">
        <v>10</v>
      </c>
      <c r="C341" s="1">
        <v>46140</v>
      </c>
      <c r="D341" t="s">
        <v>14</v>
      </c>
      <c r="E341">
        <v>46</v>
      </c>
      <c r="F341" t="s">
        <v>12</v>
      </c>
      <c r="G341" t="s">
        <v>13</v>
      </c>
      <c r="H341" s="1">
        <v>46169</v>
      </c>
      <c r="I341">
        <v>4.75</v>
      </c>
      <c r="J341">
        <v>4</v>
      </c>
      <c r="K341">
        <v>200</v>
      </c>
      <c r="L341">
        <v>290</v>
      </c>
      <c r="M341">
        <v>43.485803503427199</v>
      </c>
      <c r="N341">
        <v>1.9319999999999999</v>
      </c>
      <c r="O341">
        <f>(Table1[[#This Row],[P]]&lt;&gt;0)*(Table1[[#This Row],[C]]&lt;&gt;0)</f>
        <v>1</v>
      </c>
      <c r="P341">
        <f>NETWORKDAYS(Table1[[#This Row],[ts_event]],Table1[[#This Row],[option_expiry_date]])</f>
        <v>22</v>
      </c>
      <c r="Q341">
        <f>Table1[[#This Row],[Column2]]/252</f>
        <v>8.7301587301587297E-2</v>
      </c>
      <c r="R341" s="2">
        <f>IF(Table1[[#This Row],[CHECK2]]=0,NA(),
-(1/Table1[[#This Row],[T]])*LN((Table1[[#This Row],[S0]]-Table1[[#This Row],[C]]+Table1[[#This Row],[P]])/Table1[[#This Row],[K]])
)</f>
        <v>0.44795177843269124</v>
      </c>
    </row>
    <row r="342" spans="1:18">
      <c r="A342">
        <v>2</v>
      </c>
      <c r="B342" t="s">
        <v>10</v>
      </c>
      <c r="C342" s="1">
        <v>46140</v>
      </c>
      <c r="D342" t="s">
        <v>14</v>
      </c>
      <c r="E342">
        <v>50</v>
      </c>
      <c r="F342" t="s">
        <v>12</v>
      </c>
      <c r="G342" t="s">
        <v>13</v>
      </c>
      <c r="H342" s="1">
        <v>46169</v>
      </c>
      <c r="I342">
        <v>7.7750000000000004</v>
      </c>
      <c r="J342">
        <v>2.35</v>
      </c>
      <c r="K342">
        <v>400</v>
      </c>
      <c r="L342">
        <v>1670</v>
      </c>
      <c r="M342">
        <v>43.485803503427199</v>
      </c>
      <c r="N342">
        <v>1.9319999999999999</v>
      </c>
      <c r="O342">
        <f>(Table1[[#This Row],[P]]&lt;&gt;0)*(Table1[[#This Row],[C]]&lt;&gt;0)</f>
        <v>1</v>
      </c>
      <c r="P342">
        <f>NETWORKDAYS(Table1[[#This Row],[ts_event]],Table1[[#This Row],[option_expiry_date]])</f>
        <v>22</v>
      </c>
      <c r="Q342">
        <f>Table1[[#This Row],[Column2]]/252</f>
        <v>8.7301587301587297E-2</v>
      </c>
      <c r="R342" s="2">
        <f>IF(Table1[[#This Row],[CHECK2]]=0,NA(),
-(1/Table1[[#This Row],[T]])*LN((Table1[[#This Row],[S0]]-Table1[[#This Row],[C]]+Table1[[#This Row],[P]])/Table1[[#This Row],[K]])
)</f>
        <v>0.2522829594421781</v>
      </c>
    </row>
    <row r="343" spans="1:18">
      <c r="A343">
        <v>2</v>
      </c>
      <c r="B343" t="s">
        <v>10</v>
      </c>
      <c r="C343" s="1">
        <v>46140</v>
      </c>
      <c r="D343" t="s">
        <v>14</v>
      </c>
      <c r="E343">
        <v>55</v>
      </c>
      <c r="F343" t="s">
        <v>12</v>
      </c>
      <c r="G343" t="s">
        <v>13</v>
      </c>
      <c r="H343" s="1">
        <v>46169</v>
      </c>
      <c r="I343">
        <v>0</v>
      </c>
      <c r="J343">
        <v>1.7184313725490099</v>
      </c>
      <c r="K343">
        <v>0</v>
      </c>
      <c r="L343">
        <v>255</v>
      </c>
      <c r="M343">
        <v>43.485803503427199</v>
      </c>
      <c r="N343">
        <v>1.9319999999999999</v>
      </c>
      <c r="O343">
        <f>(Table1[[#This Row],[P]]&lt;&gt;0)*(Table1[[#This Row],[C]]&lt;&gt;0)</f>
        <v>0</v>
      </c>
      <c r="P343">
        <f>NETWORKDAYS(Table1[[#This Row],[ts_event]],Table1[[#This Row],[option_expiry_date]])</f>
        <v>22</v>
      </c>
      <c r="Q343">
        <f>Table1[[#This Row],[Column2]]/252</f>
        <v>8.7301587301587297E-2</v>
      </c>
      <c r="R343" s="2" t="e">
        <f>IF(Table1[[#This Row],[CHECK2]]=0,NA(),
-(1/Table1[[#This Row],[T]])*LN((Table1[[#This Row],[S0]]-Table1[[#This Row],[C]]+Table1[[#This Row],[P]])/Table1[[#This Row],[K]])
)</f>
        <v>#N/A</v>
      </c>
    </row>
    <row r="344" spans="1:18">
      <c r="A344">
        <v>2</v>
      </c>
      <c r="B344" t="s">
        <v>10</v>
      </c>
      <c r="C344" s="1">
        <v>46140</v>
      </c>
      <c r="D344" t="s">
        <v>14</v>
      </c>
      <c r="E344">
        <v>60</v>
      </c>
      <c r="F344" t="s">
        <v>12</v>
      </c>
      <c r="G344" t="s">
        <v>13</v>
      </c>
      <c r="H344" s="1">
        <v>46169</v>
      </c>
      <c r="I344">
        <v>0</v>
      </c>
      <c r="J344">
        <v>1.1738601823708199</v>
      </c>
      <c r="K344">
        <v>0</v>
      </c>
      <c r="L344">
        <v>1645</v>
      </c>
      <c r="M344">
        <v>43.485803503427199</v>
      </c>
      <c r="N344">
        <v>1.9319999999999999</v>
      </c>
      <c r="O344">
        <f>(Table1[[#This Row],[P]]&lt;&gt;0)*(Table1[[#This Row],[C]]&lt;&gt;0)</f>
        <v>0</v>
      </c>
      <c r="P344">
        <f>NETWORKDAYS(Table1[[#This Row],[ts_event]],Table1[[#This Row],[option_expiry_date]])</f>
        <v>22</v>
      </c>
      <c r="Q344">
        <f>Table1[[#This Row],[Column2]]/252</f>
        <v>8.7301587301587297E-2</v>
      </c>
      <c r="R344" s="2" t="e">
        <f>IF(Table1[[#This Row],[CHECK2]]=0,NA(),
-(1/Table1[[#This Row],[T]])*LN((Table1[[#This Row],[S0]]-Table1[[#This Row],[C]]+Table1[[#This Row],[P]])/Table1[[#This Row],[K]])
)</f>
        <v>#N/A</v>
      </c>
    </row>
    <row r="345" spans="1:18">
      <c r="A345">
        <v>1</v>
      </c>
      <c r="B345" t="s">
        <v>10</v>
      </c>
      <c r="C345" s="1">
        <v>46140</v>
      </c>
      <c r="D345" t="s">
        <v>14</v>
      </c>
      <c r="E345">
        <v>61</v>
      </c>
      <c r="F345" t="s">
        <v>12</v>
      </c>
      <c r="G345" t="s">
        <v>13</v>
      </c>
      <c r="H345" s="1">
        <v>46169</v>
      </c>
      <c r="I345">
        <v>0</v>
      </c>
      <c r="J345">
        <v>0.98</v>
      </c>
      <c r="K345">
        <v>0</v>
      </c>
      <c r="L345">
        <v>50</v>
      </c>
      <c r="M345">
        <v>43.485803503427199</v>
      </c>
      <c r="N345">
        <v>1.9319999999999999</v>
      </c>
      <c r="O345">
        <f>(Table1[[#This Row],[P]]&lt;&gt;0)*(Table1[[#This Row],[C]]&lt;&gt;0)</f>
        <v>0</v>
      </c>
      <c r="P345">
        <f>NETWORKDAYS(Table1[[#This Row],[ts_event]],Table1[[#This Row],[option_expiry_date]])</f>
        <v>22</v>
      </c>
      <c r="Q345">
        <f>Table1[[#This Row],[Column2]]/252</f>
        <v>8.7301587301587297E-2</v>
      </c>
      <c r="R345" s="2" t="e">
        <f>IF(Table1[[#This Row],[CHECK2]]=0,NA(),
-(1/Table1[[#This Row],[T]])*LN((Table1[[#This Row],[S0]]-Table1[[#This Row],[C]]+Table1[[#This Row],[P]])/Table1[[#This Row],[K]])
)</f>
        <v>#N/A</v>
      </c>
    </row>
    <row r="346" spans="1:18">
      <c r="A346">
        <v>1</v>
      </c>
      <c r="B346" t="s">
        <v>10</v>
      </c>
      <c r="C346" s="1">
        <v>46140</v>
      </c>
      <c r="D346" t="s">
        <v>14</v>
      </c>
      <c r="E346">
        <v>80</v>
      </c>
      <c r="F346" t="s">
        <v>12</v>
      </c>
      <c r="G346" t="s">
        <v>13</v>
      </c>
      <c r="H346" s="1">
        <v>46169</v>
      </c>
      <c r="I346">
        <v>0</v>
      </c>
      <c r="J346">
        <v>0.4</v>
      </c>
      <c r="K346">
        <v>0</v>
      </c>
      <c r="L346">
        <v>100</v>
      </c>
      <c r="M346">
        <v>43.485803503427199</v>
      </c>
      <c r="N346">
        <v>1.9319999999999999</v>
      </c>
      <c r="O346">
        <f>(Table1[[#This Row],[P]]&lt;&gt;0)*(Table1[[#This Row],[C]]&lt;&gt;0)</f>
        <v>0</v>
      </c>
      <c r="P346">
        <f>NETWORKDAYS(Table1[[#This Row],[ts_event]],Table1[[#This Row],[option_expiry_date]])</f>
        <v>22</v>
      </c>
      <c r="Q346">
        <f>Table1[[#This Row],[Column2]]/252</f>
        <v>8.7301587301587297E-2</v>
      </c>
      <c r="R346" s="2" t="e">
        <f>IF(Table1[[#This Row],[CHECK2]]=0,NA(),
-(1/Table1[[#This Row],[T]])*LN((Table1[[#This Row],[S0]]-Table1[[#This Row],[C]]+Table1[[#This Row],[P]])/Table1[[#This Row],[K]])
)</f>
        <v>#N/A</v>
      </c>
    </row>
    <row r="347" spans="1:18">
      <c r="A347">
        <v>1</v>
      </c>
      <c r="B347" t="s">
        <v>10</v>
      </c>
      <c r="C347" s="1">
        <v>46140</v>
      </c>
      <c r="D347" t="s">
        <v>15</v>
      </c>
      <c r="E347">
        <v>27</v>
      </c>
      <c r="F347" t="s">
        <v>12</v>
      </c>
      <c r="G347" t="s">
        <v>13</v>
      </c>
      <c r="H347" s="1">
        <v>46199</v>
      </c>
      <c r="I347">
        <v>0.19500000000000001</v>
      </c>
      <c r="J347">
        <v>0</v>
      </c>
      <c r="K347">
        <v>600</v>
      </c>
      <c r="L347">
        <v>0</v>
      </c>
      <c r="M347">
        <v>43.420345166388898</v>
      </c>
      <c r="N347">
        <v>1.9319999999999999</v>
      </c>
      <c r="O347">
        <f>(Table1[[#This Row],[P]]&lt;&gt;0)*(Table1[[#This Row],[C]]&lt;&gt;0)</f>
        <v>0</v>
      </c>
      <c r="P347">
        <f>NETWORKDAYS(Table1[[#This Row],[ts_event]],Table1[[#This Row],[option_expiry_date]])</f>
        <v>44</v>
      </c>
      <c r="Q347">
        <f>Table1[[#This Row],[Column2]]/252</f>
        <v>0.17460317460317459</v>
      </c>
      <c r="R347" s="2" t="e">
        <f>IF(Table1[[#This Row],[CHECK2]]=0,NA(),
-(1/Table1[[#This Row],[T]])*LN((Table1[[#This Row],[S0]]-Table1[[#This Row],[C]]+Table1[[#This Row],[P]])/Table1[[#This Row],[K]])
)</f>
        <v>#N/A</v>
      </c>
    </row>
    <row r="348" spans="1:18">
      <c r="A348">
        <v>1</v>
      </c>
      <c r="B348" t="s">
        <v>10</v>
      </c>
      <c r="C348" s="1">
        <v>46140</v>
      </c>
      <c r="D348" t="s">
        <v>15</v>
      </c>
      <c r="E348">
        <v>30</v>
      </c>
      <c r="F348" t="s">
        <v>12</v>
      </c>
      <c r="G348" t="s">
        <v>13</v>
      </c>
      <c r="H348" s="1">
        <v>46199</v>
      </c>
      <c r="I348">
        <v>0.41499999999999998</v>
      </c>
      <c r="J348">
        <v>0</v>
      </c>
      <c r="K348">
        <v>1800</v>
      </c>
      <c r="L348">
        <v>0</v>
      </c>
      <c r="M348">
        <v>43.420345166388898</v>
      </c>
      <c r="N348">
        <v>1.9319999999999999</v>
      </c>
      <c r="O348">
        <f>(Table1[[#This Row],[P]]&lt;&gt;0)*(Table1[[#This Row],[C]]&lt;&gt;0)</f>
        <v>0</v>
      </c>
      <c r="P348">
        <f>NETWORKDAYS(Table1[[#This Row],[ts_event]],Table1[[#This Row],[option_expiry_date]])</f>
        <v>44</v>
      </c>
      <c r="Q348">
        <f>Table1[[#This Row],[Column2]]/252</f>
        <v>0.17460317460317459</v>
      </c>
      <c r="R348" s="2" t="e">
        <f>IF(Table1[[#This Row],[CHECK2]]=0,NA(),
-(1/Table1[[#This Row],[T]])*LN((Table1[[#This Row],[S0]]-Table1[[#This Row],[C]]+Table1[[#This Row],[P]])/Table1[[#This Row],[K]])
)</f>
        <v>#N/A</v>
      </c>
    </row>
    <row r="349" spans="1:18">
      <c r="A349">
        <v>1</v>
      </c>
      <c r="B349" t="s">
        <v>10</v>
      </c>
      <c r="C349" s="1">
        <v>46140</v>
      </c>
      <c r="D349" t="s">
        <v>15</v>
      </c>
      <c r="E349">
        <v>32</v>
      </c>
      <c r="F349" t="s">
        <v>12</v>
      </c>
      <c r="G349" t="s">
        <v>13</v>
      </c>
      <c r="H349" s="1">
        <v>46199</v>
      </c>
      <c r="I349">
        <v>0.6</v>
      </c>
      <c r="J349">
        <v>0</v>
      </c>
      <c r="K349">
        <v>200</v>
      </c>
      <c r="L349">
        <v>0</v>
      </c>
      <c r="M349">
        <v>43.420345166388898</v>
      </c>
      <c r="N349">
        <v>1.9319999999999999</v>
      </c>
      <c r="O349">
        <f>(Table1[[#This Row],[P]]&lt;&gt;0)*(Table1[[#This Row],[C]]&lt;&gt;0)</f>
        <v>0</v>
      </c>
      <c r="P349">
        <f>NETWORKDAYS(Table1[[#This Row],[ts_event]],Table1[[#This Row],[option_expiry_date]])</f>
        <v>44</v>
      </c>
      <c r="Q349">
        <f>Table1[[#This Row],[Column2]]/252</f>
        <v>0.17460317460317459</v>
      </c>
      <c r="R349" s="2" t="e">
        <f>IF(Table1[[#This Row],[CHECK2]]=0,NA(),
-(1/Table1[[#This Row],[T]])*LN((Table1[[#This Row],[S0]]-Table1[[#This Row],[C]]+Table1[[#This Row],[P]])/Table1[[#This Row],[K]])
)</f>
        <v>#N/A</v>
      </c>
    </row>
    <row r="350" spans="1:18">
      <c r="A350">
        <v>2</v>
      </c>
      <c r="B350" t="s">
        <v>10</v>
      </c>
      <c r="C350" s="1">
        <v>46140</v>
      </c>
      <c r="D350" t="s">
        <v>15</v>
      </c>
      <c r="E350">
        <v>33</v>
      </c>
      <c r="F350" t="s">
        <v>12</v>
      </c>
      <c r="G350" t="s">
        <v>13</v>
      </c>
      <c r="H350" s="1">
        <v>46199</v>
      </c>
      <c r="I350">
        <v>0.76730769230769202</v>
      </c>
      <c r="J350">
        <v>0</v>
      </c>
      <c r="K350">
        <v>650</v>
      </c>
      <c r="L350">
        <v>0</v>
      </c>
      <c r="M350">
        <v>43.420345166388898</v>
      </c>
      <c r="N350">
        <v>1.9319999999999999</v>
      </c>
      <c r="O350">
        <f>(Table1[[#This Row],[P]]&lt;&gt;0)*(Table1[[#This Row],[C]]&lt;&gt;0)</f>
        <v>0</v>
      </c>
      <c r="P350">
        <f>NETWORKDAYS(Table1[[#This Row],[ts_event]],Table1[[#This Row],[option_expiry_date]])</f>
        <v>44</v>
      </c>
      <c r="Q350">
        <f>Table1[[#This Row],[Column2]]/252</f>
        <v>0.17460317460317459</v>
      </c>
      <c r="R350" s="2" t="e">
        <f>IF(Table1[[#This Row],[CHECK2]]=0,NA(),
-(1/Table1[[#This Row],[T]])*LN((Table1[[#This Row],[S0]]-Table1[[#This Row],[C]]+Table1[[#This Row],[P]])/Table1[[#This Row],[K]])
)</f>
        <v>#N/A</v>
      </c>
    </row>
    <row r="351" spans="1:18">
      <c r="A351">
        <v>1</v>
      </c>
      <c r="B351" t="s">
        <v>10</v>
      </c>
      <c r="C351" s="1">
        <v>46140</v>
      </c>
      <c r="D351" t="s">
        <v>15</v>
      </c>
      <c r="E351">
        <v>35</v>
      </c>
      <c r="F351" t="s">
        <v>12</v>
      </c>
      <c r="G351" t="s">
        <v>13</v>
      </c>
      <c r="H351" s="1">
        <v>46199</v>
      </c>
      <c r="I351">
        <v>1.4</v>
      </c>
      <c r="J351">
        <v>0</v>
      </c>
      <c r="K351">
        <v>3575</v>
      </c>
      <c r="L351">
        <v>0</v>
      </c>
      <c r="M351">
        <v>43.420345166388898</v>
      </c>
      <c r="N351">
        <v>1.9319999999999999</v>
      </c>
      <c r="O351">
        <f>(Table1[[#This Row],[P]]&lt;&gt;0)*(Table1[[#This Row],[C]]&lt;&gt;0)</f>
        <v>0</v>
      </c>
      <c r="P351">
        <f>NETWORKDAYS(Table1[[#This Row],[ts_event]],Table1[[#This Row],[option_expiry_date]])</f>
        <v>44</v>
      </c>
      <c r="Q351">
        <f>Table1[[#This Row],[Column2]]/252</f>
        <v>0.17460317460317459</v>
      </c>
      <c r="R351" s="2" t="e">
        <f>IF(Table1[[#This Row],[CHECK2]]=0,NA(),
-(1/Table1[[#This Row],[T]])*LN((Table1[[#This Row],[S0]]-Table1[[#This Row],[C]]+Table1[[#This Row],[P]])/Table1[[#This Row],[K]])
)</f>
        <v>#N/A</v>
      </c>
    </row>
    <row r="352" spans="1:18">
      <c r="A352">
        <v>1</v>
      </c>
      <c r="B352" t="s">
        <v>10</v>
      </c>
      <c r="C352" s="1">
        <v>46140</v>
      </c>
      <c r="D352" t="s">
        <v>15</v>
      </c>
      <c r="E352">
        <v>36</v>
      </c>
      <c r="F352" t="s">
        <v>12</v>
      </c>
      <c r="G352" t="s">
        <v>13</v>
      </c>
      <c r="H352" s="1">
        <v>46199</v>
      </c>
      <c r="I352">
        <v>1.425</v>
      </c>
      <c r="J352">
        <v>0</v>
      </c>
      <c r="K352">
        <v>200</v>
      </c>
      <c r="L352">
        <v>0</v>
      </c>
      <c r="M352">
        <v>43.420345166388898</v>
      </c>
      <c r="N352">
        <v>1.9319999999999999</v>
      </c>
      <c r="O352">
        <f>(Table1[[#This Row],[P]]&lt;&gt;0)*(Table1[[#This Row],[C]]&lt;&gt;0)</f>
        <v>0</v>
      </c>
      <c r="P352">
        <f>NETWORKDAYS(Table1[[#This Row],[ts_event]],Table1[[#This Row],[option_expiry_date]])</f>
        <v>44</v>
      </c>
      <c r="Q352">
        <f>Table1[[#This Row],[Column2]]/252</f>
        <v>0.17460317460317459</v>
      </c>
      <c r="R352" s="2" t="e">
        <f>IF(Table1[[#This Row],[CHECK2]]=0,NA(),
-(1/Table1[[#This Row],[T]])*LN((Table1[[#This Row],[S0]]-Table1[[#This Row],[C]]+Table1[[#This Row],[P]])/Table1[[#This Row],[K]])
)</f>
        <v>#N/A</v>
      </c>
    </row>
    <row r="353" spans="1:18">
      <c r="A353">
        <v>1</v>
      </c>
      <c r="B353" t="s">
        <v>10</v>
      </c>
      <c r="C353" s="1">
        <v>46140</v>
      </c>
      <c r="D353" t="s">
        <v>15</v>
      </c>
      <c r="E353">
        <v>38</v>
      </c>
      <c r="F353" t="s">
        <v>12</v>
      </c>
      <c r="G353" t="s">
        <v>13</v>
      </c>
      <c r="H353" s="1">
        <v>46199</v>
      </c>
      <c r="I353">
        <v>0</v>
      </c>
      <c r="J353">
        <v>8.99</v>
      </c>
      <c r="K353">
        <v>0</v>
      </c>
      <c r="L353">
        <v>300</v>
      </c>
      <c r="M353">
        <v>43.420345166388898</v>
      </c>
      <c r="N353">
        <v>1.9319999999999999</v>
      </c>
      <c r="O353">
        <f>(Table1[[#This Row],[P]]&lt;&gt;0)*(Table1[[#This Row],[C]]&lt;&gt;0)</f>
        <v>0</v>
      </c>
      <c r="P353">
        <f>NETWORKDAYS(Table1[[#This Row],[ts_event]],Table1[[#This Row],[option_expiry_date]])</f>
        <v>44</v>
      </c>
      <c r="Q353">
        <f>Table1[[#This Row],[Column2]]/252</f>
        <v>0.17460317460317459</v>
      </c>
      <c r="R353" s="2" t="e">
        <f>IF(Table1[[#This Row],[CHECK2]]=0,NA(),
-(1/Table1[[#This Row],[T]])*LN((Table1[[#This Row],[S0]]-Table1[[#This Row],[C]]+Table1[[#This Row],[P]])/Table1[[#This Row],[K]])
)</f>
        <v>#N/A</v>
      </c>
    </row>
    <row r="354" spans="1:18">
      <c r="A354">
        <v>1</v>
      </c>
      <c r="B354" t="s">
        <v>10</v>
      </c>
      <c r="C354" s="1">
        <v>46140</v>
      </c>
      <c r="D354" t="s">
        <v>15</v>
      </c>
      <c r="E354">
        <v>40</v>
      </c>
      <c r="F354" t="s">
        <v>12</v>
      </c>
      <c r="G354" t="s">
        <v>13</v>
      </c>
      <c r="H354" s="1">
        <v>46199</v>
      </c>
      <c r="I354">
        <v>3.4</v>
      </c>
      <c r="J354">
        <v>0</v>
      </c>
      <c r="K354">
        <v>1450</v>
      </c>
      <c r="L354">
        <v>0</v>
      </c>
      <c r="M354">
        <v>43.420345166388898</v>
      </c>
      <c r="N354">
        <v>1.9319999999999999</v>
      </c>
      <c r="O354">
        <f>(Table1[[#This Row],[P]]&lt;&gt;0)*(Table1[[#This Row],[C]]&lt;&gt;0)</f>
        <v>0</v>
      </c>
      <c r="P354">
        <f>NETWORKDAYS(Table1[[#This Row],[ts_event]],Table1[[#This Row],[option_expiry_date]])</f>
        <v>44</v>
      </c>
      <c r="Q354">
        <f>Table1[[#This Row],[Column2]]/252</f>
        <v>0.17460317460317459</v>
      </c>
      <c r="R354" s="2" t="e">
        <f>IF(Table1[[#This Row],[CHECK2]]=0,NA(),
-(1/Table1[[#This Row],[T]])*LN((Table1[[#This Row],[S0]]-Table1[[#This Row],[C]]+Table1[[#This Row],[P]])/Table1[[#This Row],[K]])
)</f>
        <v>#N/A</v>
      </c>
    </row>
    <row r="355" spans="1:18">
      <c r="A355">
        <v>1</v>
      </c>
      <c r="B355" t="s">
        <v>10</v>
      </c>
      <c r="C355" s="1">
        <v>46140</v>
      </c>
      <c r="D355" t="s">
        <v>15</v>
      </c>
      <c r="E355">
        <v>42</v>
      </c>
      <c r="F355" t="s">
        <v>12</v>
      </c>
      <c r="G355" t="s">
        <v>13</v>
      </c>
      <c r="H355" s="1">
        <v>46199</v>
      </c>
      <c r="I355">
        <v>0</v>
      </c>
      <c r="J355">
        <v>6.84</v>
      </c>
      <c r="K355">
        <v>0</v>
      </c>
      <c r="L355">
        <v>300</v>
      </c>
      <c r="M355">
        <v>43.420345166388898</v>
      </c>
      <c r="N355">
        <v>1.9319999999999999</v>
      </c>
      <c r="O355">
        <f>(Table1[[#This Row],[P]]&lt;&gt;0)*(Table1[[#This Row],[C]]&lt;&gt;0)</f>
        <v>0</v>
      </c>
      <c r="P355">
        <f>NETWORKDAYS(Table1[[#This Row],[ts_event]],Table1[[#This Row],[option_expiry_date]])</f>
        <v>44</v>
      </c>
      <c r="Q355">
        <f>Table1[[#This Row],[Column2]]/252</f>
        <v>0.17460317460317459</v>
      </c>
      <c r="R355" s="2" t="e">
        <f>IF(Table1[[#This Row],[CHECK2]]=0,NA(),
-(1/Table1[[#This Row],[T]])*LN((Table1[[#This Row],[S0]]-Table1[[#This Row],[C]]+Table1[[#This Row],[P]])/Table1[[#This Row],[K]])
)</f>
        <v>#N/A</v>
      </c>
    </row>
    <row r="356" spans="1:18">
      <c r="A356">
        <v>1</v>
      </c>
      <c r="B356" t="s">
        <v>10</v>
      </c>
      <c r="C356" s="1">
        <v>46140</v>
      </c>
      <c r="D356" t="s">
        <v>15</v>
      </c>
      <c r="E356">
        <v>45</v>
      </c>
      <c r="F356" t="s">
        <v>12</v>
      </c>
      <c r="G356" t="s">
        <v>13</v>
      </c>
      <c r="H356" s="1">
        <v>46199</v>
      </c>
      <c r="I356">
        <v>0</v>
      </c>
      <c r="J356">
        <v>5.05</v>
      </c>
      <c r="K356">
        <v>0</v>
      </c>
      <c r="L356">
        <v>2400</v>
      </c>
      <c r="M356">
        <v>43.420345166388898</v>
      </c>
      <c r="N356">
        <v>1.9319999999999999</v>
      </c>
      <c r="O356">
        <f>(Table1[[#This Row],[P]]&lt;&gt;0)*(Table1[[#This Row],[C]]&lt;&gt;0)</f>
        <v>0</v>
      </c>
      <c r="P356">
        <f>NETWORKDAYS(Table1[[#This Row],[ts_event]],Table1[[#This Row],[option_expiry_date]])</f>
        <v>44</v>
      </c>
      <c r="Q356">
        <f>Table1[[#This Row],[Column2]]/252</f>
        <v>0.17460317460317459</v>
      </c>
      <c r="R356" s="2" t="e">
        <f>IF(Table1[[#This Row],[CHECK2]]=0,NA(),
-(1/Table1[[#This Row],[T]])*LN((Table1[[#This Row],[S0]]-Table1[[#This Row],[C]]+Table1[[#This Row],[P]])/Table1[[#This Row],[K]])
)</f>
        <v>#N/A</v>
      </c>
    </row>
    <row r="357" spans="1:18">
      <c r="A357">
        <v>1</v>
      </c>
      <c r="B357" t="s">
        <v>10</v>
      </c>
      <c r="C357" s="1">
        <v>46140</v>
      </c>
      <c r="D357" t="s">
        <v>15</v>
      </c>
      <c r="E357">
        <v>50</v>
      </c>
      <c r="F357" t="s">
        <v>12</v>
      </c>
      <c r="G357" t="s">
        <v>13</v>
      </c>
      <c r="H357" s="1">
        <v>46199</v>
      </c>
      <c r="I357">
        <v>0</v>
      </c>
      <c r="J357">
        <v>3.75</v>
      </c>
      <c r="K357">
        <v>0</v>
      </c>
      <c r="L357">
        <v>2525</v>
      </c>
      <c r="M357">
        <v>43.420345166388898</v>
      </c>
      <c r="N357">
        <v>1.9319999999999999</v>
      </c>
      <c r="O357">
        <f>(Table1[[#This Row],[P]]&lt;&gt;0)*(Table1[[#This Row],[C]]&lt;&gt;0)</f>
        <v>0</v>
      </c>
      <c r="P357">
        <f>NETWORKDAYS(Table1[[#This Row],[ts_event]],Table1[[#This Row],[option_expiry_date]])</f>
        <v>44</v>
      </c>
      <c r="Q357">
        <f>Table1[[#This Row],[Column2]]/252</f>
        <v>0.17460317460317459</v>
      </c>
      <c r="R357" s="2" t="e">
        <f>IF(Table1[[#This Row],[CHECK2]]=0,NA(),
-(1/Table1[[#This Row],[T]])*LN((Table1[[#This Row],[S0]]-Table1[[#This Row],[C]]+Table1[[#This Row],[P]])/Table1[[#This Row],[K]])
)</f>
        <v>#N/A</v>
      </c>
    </row>
    <row r="358" spans="1:18">
      <c r="A358">
        <v>1</v>
      </c>
      <c r="B358" t="s">
        <v>10</v>
      </c>
      <c r="C358" s="1">
        <v>46140</v>
      </c>
      <c r="D358" t="s">
        <v>15</v>
      </c>
      <c r="E358">
        <v>70</v>
      </c>
      <c r="F358" t="s">
        <v>12</v>
      </c>
      <c r="G358" t="s">
        <v>13</v>
      </c>
      <c r="H358" s="1">
        <v>46199</v>
      </c>
      <c r="I358">
        <v>0</v>
      </c>
      <c r="J358">
        <v>1.36</v>
      </c>
      <c r="K358">
        <v>0</v>
      </c>
      <c r="L358">
        <v>50</v>
      </c>
      <c r="M358">
        <v>43.420345166388898</v>
      </c>
      <c r="N358">
        <v>1.9319999999999999</v>
      </c>
      <c r="O358">
        <f>(Table1[[#This Row],[P]]&lt;&gt;0)*(Table1[[#This Row],[C]]&lt;&gt;0)</f>
        <v>0</v>
      </c>
      <c r="P358">
        <f>NETWORKDAYS(Table1[[#This Row],[ts_event]],Table1[[#This Row],[option_expiry_date]])</f>
        <v>44</v>
      </c>
      <c r="Q358">
        <f>Table1[[#This Row],[Column2]]/252</f>
        <v>0.17460317460317459</v>
      </c>
      <c r="R358" s="2" t="e">
        <f>IF(Table1[[#This Row],[CHECK2]]=0,NA(),
-(1/Table1[[#This Row],[T]])*LN((Table1[[#This Row],[S0]]-Table1[[#This Row],[C]]+Table1[[#This Row],[P]])/Table1[[#This Row],[K]])
)</f>
        <v>#N/A</v>
      </c>
    </row>
    <row r="359" spans="1:18">
      <c r="A359">
        <v>1</v>
      </c>
      <c r="B359" t="s">
        <v>10</v>
      </c>
      <c r="C359" s="1">
        <v>46140</v>
      </c>
      <c r="D359" t="s">
        <v>15</v>
      </c>
      <c r="E359">
        <v>80</v>
      </c>
      <c r="F359" t="s">
        <v>12</v>
      </c>
      <c r="G359" t="s">
        <v>13</v>
      </c>
      <c r="H359" s="1">
        <v>46199</v>
      </c>
      <c r="I359">
        <v>0</v>
      </c>
      <c r="J359">
        <v>1.0349999999999999</v>
      </c>
      <c r="K359">
        <v>0</v>
      </c>
      <c r="L359">
        <v>50</v>
      </c>
      <c r="M359">
        <v>43.420345166388898</v>
      </c>
      <c r="N359">
        <v>1.9319999999999999</v>
      </c>
      <c r="O359">
        <f>(Table1[[#This Row],[P]]&lt;&gt;0)*(Table1[[#This Row],[C]]&lt;&gt;0)</f>
        <v>0</v>
      </c>
      <c r="P359">
        <f>NETWORKDAYS(Table1[[#This Row],[ts_event]],Table1[[#This Row],[option_expiry_date]])</f>
        <v>44</v>
      </c>
      <c r="Q359">
        <f>Table1[[#This Row],[Column2]]/252</f>
        <v>0.17460317460317459</v>
      </c>
      <c r="R359" s="2" t="e">
        <f>IF(Table1[[#This Row],[CHECK2]]=0,NA(),
-(1/Table1[[#This Row],[T]])*LN((Table1[[#This Row],[S0]]-Table1[[#This Row],[C]]+Table1[[#This Row],[P]])/Table1[[#This Row],[K]])
)</f>
        <v>#N/A</v>
      </c>
    </row>
    <row r="360" spans="1:18">
      <c r="A360">
        <v>1</v>
      </c>
      <c r="B360" t="s">
        <v>10</v>
      </c>
      <c r="C360" s="1">
        <v>46140</v>
      </c>
      <c r="D360" t="s">
        <v>16</v>
      </c>
      <c r="E360">
        <v>31.5</v>
      </c>
      <c r="F360" t="s">
        <v>12</v>
      </c>
      <c r="G360" t="s">
        <v>13</v>
      </c>
      <c r="H360" s="1">
        <v>46230</v>
      </c>
      <c r="I360">
        <v>0.98499999999999999</v>
      </c>
      <c r="J360">
        <v>0</v>
      </c>
      <c r="K360">
        <v>25</v>
      </c>
      <c r="L360">
        <v>0</v>
      </c>
      <c r="M360">
        <v>43.352296757930098</v>
      </c>
      <c r="N360">
        <v>1.9319999999999999</v>
      </c>
      <c r="O360">
        <f>(Table1[[#This Row],[P]]&lt;&gt;0)*(Table1[[#This Row],[C]]&lt;&gt;0)</f>
        <v>0</v>
      </c>
      <c r="P360">
        <f>NETWORKDAYS(Table1[[#This Row],[ts_event]],Table1[[#This Row],[option_expiry_date]])</f>
        <v>65</v>
      </c>
      <c r="Q360">
        <f>Table1[[#This Row],[Column2]]/252</f>
        <v>0.25793650793650796</v>
      </c>
      <c r="R360" s="2" t="e">
        <f>IF(Table1[[#This Row],[CHECK2]]=0,NA(),
-(1/Table1[[#This Row],[T]])*LN((Table1[[#This Row],[S0]]-Table1[[#This Row],[C]]+Table1[[#This Row],[P]])/Table1[[#This Row],[K]])
)</f>
        <v>#N/A</v>
      </c>
    </row>
    <row r="361" spans="1:18">
      <c r="A361">
        <v>1</v>
      </c>
      <c r="B361" t="s">
        <v>10</v>
      </c>
      <c r="C361" s="1">
        <v>46140</v>
      </c>
      <c r="D361" t="s">
        <v>16</v>
      </c>
      <c r="E361">
        <v>80</v>
      </c>
      <c r="F361" t="s">
        <v>12</v>
      </c>
      <c r="G361" t="s">
        <v>13</v>
      </c>
      <c r="H361" s="1">
        <v>46230</v>
      </c>
      <c r="I361">
        <v>0</v>
      </c>
      <c r="J361">
        <v>1.6</v>
      </c>
      <c r="K361">
        <v>0</v>
      </c>
      <c r="L361">
        <v>50</v>
      </c>
      <c r="M361">
        <v>43.352296757930098</v>
      </c>
      <c r="N361">
        <v>1.9319999999999999</v>
      </c>
      <c r="O361">
        <f>(Table1[[#This Row],[P]]&lt;&gt;0)*(Table1[[#This Row],[C]]&lt;&gt;0)</f>
        <v>0</v>
      </c>
      <c r="P361">
        <f>NETWORKDAYS(Table1[[#This Row],[ts_event]],Table1[[#This Row],[option_expiry_date]])</f>
        <v>65</v>
      </c>
      <c r="Q361">
        <f>Table1[[#This Row],[Column2]]/252</f>
        <v>0.25793650793650796</v>
      </c>
      <c r="R361" s="2" t="e">
        <f>IF(Table1[[#This Row],[CHECK2]]=0,NA(),
-(1/Table1[[#This Row],[T]])*LN((Table1[[#This Row],[S0]]-Table1[[#This Row],[C]]+Table1[[#This Row],[P]])/Table1[[#This Row],[K]])
)</f>
        <v>#N/A</v>
      </c>
    </row>
    <row r="362" spans="1:18">
      <c r="A362">
        <v>1</v>
      </c>
      <c r="B362" t="s">
        <v>10</v>
      </c>
      <c r="C362" s="1">
        <v>46140</v>
      </c>
      <c r="D362" t="s">
        <v>17</v>
      </c>
      <c r="E362">
        <v>35</v>
      </c>
      <c r="F362" t="s">
        <v>12</v>
      </c>
      <c r="G362" t="s">
        <v>13</v>
      </c>
      <c r="H362" s="1">
        <v>46260</v>
      </c>
      <c r="I362">
        <v>2.3250000000000002</v>
      </c>
      <c r="J362">
        <v>0</v>
      </c>
      <c r="K362">
        <v>3025</v>
      </c>
      <c r="L362">
        <v>0</v>
      </c>
      <c r="M362">
        <v>43.365328198844701</v>
      </c>
      <c r="N362">
        <v>1.9319999999999999</v>
      </c>
      <c r="O362">
        <f>(Table1[[#This Row],[P]]&lt;&gt;0)*(Table1[[#This Row],[C]]&lt;&gt;0)</f>
        <v>0</v>
      </c>
      <c r="P362">
        <f>NETWORKDAYS(Table1[[#This Row],[ts_event]],Table1[[#This Row],[option_expiry_date]])</f>
        <v>87</v>
      </c>
      <c r="Q362">
        <f>Table1[[#This Row],[Column2]]/252</f>
        <v>0.34523809523809523</v>
      </c>
      <c r="R362" s="2" t="e">
        <f>IF(Table1[[#This Row],[CHECK2]]=0,NA(),
-(1/Table1[[#This Row],[T]])*LN((Table1[[#This Row],[S0]]-Table1[[#This Row],[C]]+Table1[[#This Row],[P]])/Table1[[#This Row],[K]])
)</f>
        <v>#N/A</v>
      </c>
    </row>
    <row r="363" spans="1:18">
      <c r="A363">
        <v>1</v>
      </c>
      <c r="B363" t="s">
        <v>10</v>
      </c>
      <c r="C363" s="1">
        <v>46140</v>
      </c>
      <c r="D363" t="s">
        <v>17</v>
      </c>
      <c r="E363">
        <v>50</v>
      </c>
      <c r="F363" t="s">
        <v>12</v>
      </c>
      <c r="G363" t="s">
        <v>13</v>
      </c>
      <c r="H363" s="1">
        <v>46260</v>
      </c>
      <c r="I363">
        <v>0</v>
      </c>
      <c r="J363">
        <v>6.18</v>
      </c>
      <c r="K363">
        <v>0</v>
      </c>
      <c r="L363">
        <v>1875</v>
      </c>
      <c r="M363">
        <v>43.365328198844701</v>
      </c>
      <c r="N363">
        <v>1.9319999999999999</v>
      </c>
      <c r="O363">
        <f>(Table1[[#This Row],[P]]&lt;&gt;0)*(Table1[[#This Row],[C]]&lt;&gt;0)</f>
        <v>0</v>
      </c>
      <c r="P363">
        <f>NETWORKDAYS(Table1[[#This Row],[ts_event]],Table1[[#This Row],[option_expiry_date]])</f>
        <v>87</v>
      </c>
      <c r="Q363">
        <f>Table1[[#This Row],[Column2]]/252</f>
        <v>0.34523809523809523</v>
      </c>
      <c r="R363" s="2" t="e">
        <f>IF(Table1[[#This Row],[CHECK2]]=0,NA(),
-(1/Table1[[#This Row],[T]])*LN((Table1[[#This Row],[S0]]-Table1[[#This Row],[C]]+Table1[[#This Row],[P]])/Table1[[#This Row],[K]])
)</f>
        <v>#N/A</v>
      </c>
    </row>
    <row r="364" spans="1:18">
      <c r="A364">
        <v>1</v>
      </c>
      <c r="B364" t="s">
        <v>10</v>
      </c>
      <c r="C364" s="1">
        <v>46140</v>
      </c>
      <c r="D364" t="s">
        <v>17</v>
      </c>
      <c r="E364">
        <v>75</v>
      </c>
      <c r="F364" t="s">
        <v>12</v>
      </c>
      <c r="G364" t="s">
        <v>13</v>
      </c>
      <c r="H364" s="1">
        <v>46260</v>
      </c>
      <c r="I364">
        <v>0</v>
      </c>
      <c r="J364">
        <v>2.46</v>
      </c>
      <c r="K364">
        <v>0</v>
      </c>
      <c r="L364">
        <v>50</v>
      </c>
      <c r="M364">
        <v>43.365328198844701</v>
      </c>
      <c r="N364">
        <v>1.9319999999999999</v>
      </c>
      <c r="O364">
        <f>(Table1[[#This Row],[P]]&lt;&gt;0)*(Table1[[#This Row],[C]]&lt;&gt;0)</f>
        <v>0</v>
      </c>
      <c r="P364">
        <f>NETWORKDAYS(Table1[[#This Row],[ts_event]],Table1[[#This Row],[option_expiry_date]])</f>
        <v>87</v>
      </c>
      <c r="Q364">
        <f>Table1[[#This Row],[Column2]]/252</f>
        <v>0.34523809523809523</v>
      </c>
      <c r="R364" s="2" t="e">
        <f>IF(Table1[[#This Row],[CHECK2]]=0,NA(),
-(1/Table1[[#This Row],[T]])*LN((Table1[[#This Row],[S0]]-Table1[[#This Row],[C]]+Table1[[#This Row],[P]])/Table1[[#This Row],[K]])
)</f>
        <v>#N/A</v>
      </c>
    </row>
    <row r="365" spans="1:18">
      <c r="A365">
        <v>1</v>
      </c>
      <c r="B365" t="s">
        <v>10</v>
      </c>
      <c r="C365" s="1">
        <v>46140</v>
      </c>
      <c r="D365" t="s">
        <v>18</v>
      </c>
      <c r="E365">
        <v>30</v>
      </c>
      <c r="F365" t="s">
        <v>12</v>
      </c>
      <c r="G365" t="s">
        <v>13</v>
      </c>
      <c r="H365" s="1">
        <v>46290</v>
      </c>
      <c r="I365">
        <v>0.95</v>
      </c>
      <c r="J365">
        <v>0</v>
      </c>
      <c r="K365">
        <v>1250</v>
      </c>
      <c r="L365">
        <v>0</v>
      </c>
      <c r="M365">
        <v>43.240459039548</v>
      </c>
      <c r="N365">
        <v>1.9319999999999999</v>
      </c>
      <c r="O365">
        <f>(Table1[[#This Row],[P]]&lt;&gt;0)*(Table1[[#This Row],[C]]&lt;&gt;0)</f>
        <v>0</v>
      </c>
      <c r="P365">
        <f>NETWORKDAYS(Table1[[#This Row],[ts_event]],Table1[[#This Row],[option_expiry_date]])</f>
        <v>109</v>
      </c>
      <c r="Q365">
        <f>Table1[[#This Row],[Column2]]/252</f>
        <v>0.43253968253968256</v>
      </c>
      <c r="R365" s="2" t="e">
        <f>IF(Table1[[#This Row],[CHECK2]]=0,NA(),
-(1/Table1[[#This Row],[T]])*LN((Table1[[#This Row],[S0]]-Table1[[#This Row],[C]]+Table1[[#This Row],[P]])/Table1[[#This Row],[K]])
)</f>
        <v>#N/A</v>
      </c>
    </row>
    <row r="366" spans="1:18">
      <c r="A366">
        <v>1</v>
      </c>
      <c r="B366" t="s">
        <v>10</v>
      </c>
      <c r="C366" s="1">
        <v>46140</v>
      </c>
      <c r="D366" t="s">
        <v>18</v>
      </c>
      <c r="E366">
        <v>35</v>
      </c>
      <c r="F366" t="s">
        <v>12</v>
      </c>
      <c r="G366" t="s">
        <v>13</v>
      </c>
      <c r="H366" s="1">
        <v>46290</v>
      </c>
      <c r="I366">
        <v>2.35</v>
      </c>
      <c r="J366">
        <v>0</v>
      </c>
      <c r="K366">
        <v>2665</v>
      </c>
      <c r="L366">
        <v>0</v>
      </c>
      <c r="M366">
        <v>43.240459039548</v>
      </c>
      <c r="N366">
        <v>1.9319999999999999</v>
      </c>
      <c r="O366">
        <f>(Table1[[#This Row],[P]]&lt;&gt;0)*(Table1[[#This Row],[C]]&lt;&gt;0)</f>
        <v>0</v>
      </c>
      <c r="P366">
        <f>NETWORKDAYS(Table1[[#This Row],[ts_event]],Table1[[#This Row],[option_expiry_date]])</f>
        <v>109</v>
      </c>
      <c r="Q366">
        <f>Table1[[#This Row],[Column2]]/252</f>
        <v>0.43253968253968256</v>
      </c>
      <c r="R366" s="2" t="e">
        <f>IF(Table1[[#This Row],[CHECK2]]=0,NA(),
-(1/Table1[[#This Row],[T]])*LN((Table1[[#This Row],[S0]]-Table1[[#This Row],[C]]+Table1[[#This Row],[P]])/Table1[[#This Row],[K]])
)</f>
        <v>#N/A</v>
      </c>
    </row>
    <row r="367" spans="1:18">
      <c r="A367">
        <v>1</v>
      </c>
      <c r="B367" t="s">
        <v>10</v>
      </c>
      <c r="C367" s="1">
        <v>46140</v>
      </c>
      <c r="D367" t="s">
        <v>18</v>
      </c>
      <c r="E367">
        <v>43</v>
      </c>
      <c r="F367" t="s">
        <v>12</v>
      </c>
      <c r="G367" t="s">
        <v>13</v>
      </c>
      <c r="H367" s="1">
        <v>46290</v>
      </c>
      <c r="I367">
        <v>6.85</v>
      </c>
      <c r="J367">
        <v>0</v>
      </c>
      <c r="K367">
        <v>25</v>
      </c>
      <c r="L367">
        <v>0</v>
      </c>
      <c r="M367">
        <v>43.240459039548</v>
      </c>
      <c r="N367">
        <v>1.9319999999999999</v>
      </c>
      <c r="O367">
        <f>(Table1[[#This Row],[P]]&lt;&gt;0)*(Table1[[#This Row],[C]]&lt;&gt;0)</f>
        <v>0</v>
      </c>
      <c r="P367">
        <f>NETWORKDAYS(Table1[[#This Row],[ts_event]],Table1[[#This Row],[option_expiry_date]])</f>
        <v>109</v>
      </c>
      <c r="Q367">
        <f>Table1[[#This Row],[Column2]]/252</f>
        <v>0.43253968253968256</v>
      </c>
      <c r="R367" s="2" t="e">
        <f>IF(Table1[[#This Row],[CHECK2]]=0,NA(),
-(1/Table1[[#This Row],[T]])*LN((Table1[[#This Row],[S0]]-Table1[[#This Row],[C]]+Table1[[#This Row],[P]])/Table1[[#This Row],[K]])
)</f>
        <v>#N/A</v>
      </c>
    </row>
    <row r="368" spans="1:18">
      <c r="A368">
        <v>1</v>
      </c>
      <c r="B368" t="s">
        <v>10</v>
      </c>
      <c r="C368" s="1">
        <v>46140</v>
      </c>
      <c r="D368" t="s">
        <v>18</v>
      </c>
      <c r="E368">
        <v>45</v>
      </c>
      <c r="F368" t="s">
        <v>12</v>
      </c>
      <c r="G368" t="s">
        <v>13</v>
      </c>
      <c r="H368" s="1">
        <v>46290</v>
      </c>
      <c r="I368">
        <v>7.8</v>
      </c>
      <c r="J368">
        <v>0</v>
      </c>
      <c r="K368">
        <v>1000</v>
      </c>
      <c r="L368">
        <v>0</v>
      </c>
      <c r="M368">
        <v>43.240459039548</v>
      </c>
      <c r="N368">
        <v>1.9319999999999999</v>
      </c>
      <c r="O368">
        <f>(Table1[[#This Row],[P]]&lt;&gt;0)*(Table1[[#This Row],[C]]&lt;&gt;0)</f>
        <v>0</v>
      </c>
      <c r="P368">
        <f>NETWORKDAYS(Table1[[#This Row],[ts_event]],Table1[[#This Row],[option_expiry_date]])</f>
        <v>109</v>
      </c>
      <c r="Q368">
        <f>Table1[[#This Row],[Column2]]/252</f>
        <v>0.43253968253968256</v>
      </c>
      <c r="R368" s="2" t="e">
        <f>IF(Table1[[#This Row],[CHECK2]]=0,NA(),
-(1/Table1[[#This Row],[T]])*LN((Table1[[#This Row],[S0]]-Table1[[#This Row],[C]]+Table1[[#This Row],[P]])/Table1[[#This Row],[K]])
)</f>
        <v>#N/A</v>
      </c>
    </row>
    <row r="369" spans="1:18">
      <c r="A369">
        <v>1</v>
      </c>
      <c r="B369" t="s">
        <v>10</v>
      </c>
      <c r="C369" s="1">
        <v>46140</v>
      </c>
      <c r="D369" t="s">
        <v>21</v>
      </c>
      <c r="E369">
        <v>43</v>
      </c>
      <c r="F369" t="s">
        <v>12</v>
      </c>
      <c r="G369" t="s">
        <v>13</v>
      </c>
      <c r="H369" s="1">
        <v>46322</v>
      </c>
      <c r="I369">
        <v>7.5</v>
      </c>
      <c r="J369">
        <v>0</v>
      </c>
      <c r="K369">
        <v>25</v>
      </c>
      <c r="L369">
        <v>0</v>
      </c>
      <c r="M369">
        <v>43.165046692047902</v>
      </c>
      <c r="N369">
        <v>1.9319999999999999</v>
      </c>
      <c r="O369">
        <f>(Table1[[#This Row],[P]]&lt;&gt;0)*(Table1[[#This Row],[C]]&lt;&gt;0)</f>
        <v>0</v>
      </c>
      <c r="P369">
        <f>NETWORKDAYS(Table1[[#This Row],[ts_event]],Table1[[#This Row],[option_expiry_date]])</f>
        <v>131</v>
      </c>
      <c r="Q369">
        <f>Table1[[#This Row],[Column2]]/252</f>
        <v>0.51984126984126988</v>
      </c>
      <c r="R369" s="2" t="e">
        <f>IF(Table1[[#This Row],[CHECK2]]=0,NA(),
-(1/Table1[[#This Row],[T]])*LN((Table1[[#This Row],[S0]]-Table1[[#This Row],[C]]+Table1[[#This Row],[P]])/Table1[[#This Row],[K]])
)</f>
        <v>#N/A</v>
      </c>
    </row>
    <row r="370" spans="1:18">
      <c r="A370">
        <v>1</v>
      </c>
      <c r="B370" t="s">
        <v>10</v>
      </c>
      <c r="C370" s="1">
        <v>46140</v>
      </c>
      <c r="D370" t="s">
        <v>21</v>
      </c>
      <c r="E370">
        <v>55</v>
      </c>
      <c r="F370" t="s">
        <v>12</v>
      </c>
      <c r="G370" t="s">
        <v>13</v>
      </c>
      <c r="H370" s="1">
        <v>46322</v>
      </c>
      <c r="I370">
        <v>0</v>
      </c>
      <c r="J370">
        <v>6.12</v>
      </c>
      <c r="K370">
        <v>0</v>
      </c>
      <c r="L370">
        <v>190</v>
      </c>
      <c r="M370">
        <v>43.165046692047902</v>
      </c>
      <c r="N370">
        <v>1.9319999999999999</v>
      </c>
      <c r="O370">
        <f>(Table1[[#This Row],[P]]&lt;&gt;0)*(Table1[[#This Row],[C]]&lt;&gt;0)</f>
        <v>0</v>
      </c>
      <c r="P370">
        <f>NETWORKDAYS(Table1[[#This Row],[ts_event]],Table1[[#This Row],[option_expiry_date]])</f>
        <v>131</v>
      </c>
      <c r="Q370">
        <f>Table1[[#This Row],[Column2]]/252</f>
        <v>0.51984126984126988</v>
      </c>
      <c r="R370" s="2" t="e">
        <f>IF(Table1[[#This Row],[CHECK2]]=0,NA(),
-(1/Table1[[#This Row],[T]])*LN((Table1[[#This Row],[S0]]-Table1[[#This Row],[C]]+Table1[[#This Row],[P]])/Table1[[#This Row],[K]])
)</f>
        <v>#N/A</v>
      </c>
    </row>
    <row r="371" spans="1:18">
      <c r="A371">
        <v>1</v>
      </c>
      <c r="B371" t="s">
        <v>10</v>
      </c>
      <c r="C371" s="1">
        <v>46140</v>
      </c>
      <c r="D371" t="s">
        <v>21</v>
      </c>
      <c r="E371">
        <v>70</v>
      </c>
      <c r="F371" t="s">
        <v>12</v>
      </c>
      <c r="G371" t="s">
        <v>13</v>
      </c>
      <c r="H371" s="1">
        <v>46322</v>
      </c>
      <c r="I371">
        <v>0</v>
      </c>
      <c r="J371">
        <v>4.04</v>
      </c>
      <c r="K371">
        <v>0</v>
      </c>
      <c r="L371">
        <v>200</v>
      </c>
      <c r="M371">
        <v>43.165046692047902</v>
      </c>
      <c r="N371">
        <v>1.9319999999999999</v>
      </c>
      <c r="O371">
        <f>(Table1[[#This Row],[P]]&lt;&gt;0)*(Table1[[#This Row],[C]]&lt;&gt;0)</f>
        <v>0</v>
      </c>
      <c r="P371">
        <f>NETWORKDAYS(Table1[[#This Row],[ts_event]],Table1[[#This Row],[option_expiry_date]])</f>
        <v>131</v>
      </c>
      <c r="Q371">
        <f>Table1[[#This Row],[Column2]]/252</f>
        <v>0.51984126984126988</v>
      </c>
      <c r="R371" s="2" t="e">
        <f>IF(Table1[[#This Row],[CHECK2]]=0,NA(),
-(1/Table1[[#This Row],[T]])*LN((Table1[[#This Row],[S0]]-Table1[[#This Row],[C]]+Table1[[#This Row],[P]])/Table1[[#This Row],[K]])
)</f>
        <v>#N/A</v>
      </c>
    </row>
    <row r="372" spans="1:18">
      <c r="A372">
        <v>1</v>
      </c>
      <c r="B372" t="s">
        <v>10</v>
      </c>
      <c r="C372" s="1">
        <v>46140</v>
      </c>
      <c r="D372" t="s">
        <v>21</v>
      </c>
      <c r="E372">
        <v>80</v>
      </c>
      <c r="F372" t="s">
        <v>12</v>
      </c>
      <c r="G372" t="s">
        <v>13</v>
      </c>
      <c r="H372" s="1">
        <v>46322</v>
      </c>
      <c r="I372">
        <v>0</v>
      </c>
      <c r="J372">
        <v>3.22</v>
      </c>
      <c r="K372">
        <v>0</v>
      </c>
      <c r="L372">
        <v>300</v>
      </c>
      <c r="M372">
        <v>43.165046692047902</v>
      </c>
      <c r="N372">
        <v>1.9319999999999999</v>
      </c>
      <c r="O372">
        <f>(Table1[[#This Row],[P]]&lt;&gt;0)*(Table1[[#This Row],[C]]&lt;&gt;0)</f>
        <v>0</v>
      </c>
      <c r="P372">
        <f>NETWORKDAYS(Table1[[#This Row],[ts_event]],Table1[[#This Row],[option_expiry_date]])</f>
        <v>131</v>
      </c>
      <c r="Q372">
        <f>Table1[[#This Row],[Column2]]/252</f>
        <v>0.51984126984126988</v>
      </c>
      <c r="R372" s="2" t="e">
        <f>IF(Table1[[#This Row],[CHECK2]]=0,NA(),
-(1/Table1[[#This Row],[T]])*LN((Table1[[#This Row],[S0]]-Table1[[#This Row],[C]]+Table1[[#This Row],[P]])/Table1[[#This Row],[K]])
)</f>
        <v>#N/A</v>
      </c>
    </row>
    <row r="373" spans="1:18">
      <c r="A373">
        <v>1</v>
      </c>
      <c r="B373" t="s">
        <v>10</v>
      </c>
      <c r="C373" s="1">
        <v>46140</v>
      </c>
      <c r="D373" t="s">
        <v>20</v>
      </c>
      <c r="E373">
        <v>55</v>
      </c>
      <c r="F373" t="s">
        <v>12</v>
      </c>
      <c r="G373" t="s">
        <v>13</v>
      </c>
      <c r="H373" s="1">
        <v>46352</v>
      </c>
      <c r="I373">
        <v>0</v>
      </c>
      <c r="J373">
        <v>6.12</v>
      </c>
      <c r="K373">
        <v>0</v>
      </c>
      <c r="L373">
        <v>190</v>
      </c>
      <c r="M373">
        <v>43.215000000000003</v>
      </c>
      <c r="N373">
        <v>1.9319999999999999</v>
      </c>
      <c r="O373">
        <f>(Table1[[#This Row],[P]]&lt;&gt;0)*(Table1[[#This Row],[C]]&lt;&gt;0)</f>
        <v>0</v>
      </c>
      <c r="P373">
        <f>NETWORKDAYS(Table1[[#This Row],[ts_event]],Table1[[#This Row],[option_expiry_date]])</f>
        <v>153</v>
      </c>
      <c r="Q373">
        <f>Table1[[#This Row],[Column2]]/252</f>
        <v>0.6071428571428571</v>
      </c>
      <c r="R373" s="2" t="e">
        <f>IF(Table1[[#This Row],[CHECK2]]=0,NA(),
-(1/Table1[[#This Row],[T]])*LN((Table1[[#This Row],[S0]]-Table1[[#This Row],[C]]+Table1[[#This Row],[P]])/Table1[[#This Row],[K]])
)</f>
        <v>#N/A</v>
      </c>
    </row>
    <row r="374" spans="1:18">
      <c r="A374">
        <v>1</v>
      </c>
      <c r="B374" t="s">
        <v>10</v>
      </c>
      <c r="C374" s="1">
        <v>46140</v>
      </c>
      <c r="D374" t="s">
        <v>20</v>
      </c>
      <c r="E374">
        <v>70</v>
      </c>
      <c r="F374" t="s">
        <v>12</v>
      </c>
      <c r="G374" t="s">
        <v>13</v>
      </c>
      <c r="H374" s="1">
        <v>46352</v>
      </c>
      <c r="I374">
        <v>0</v>
      </c>
      <c r="J374">
        <v>4.04</v>
      </c>
      <c r="K374">
        <v>0</v>
      </c>
      <c r="L374">
        <v>200</v>
      </c>
      <c r="M374">
        <v>43.215000000000003</v>
      </c>
      <c r="N374">
        <v>1.9319999999999999</v>
      </c>
      <c r="O374">
        <f>(Table1[[#This Row],[P]]&lt;&gt;0)*(Table1[[#This Row],[C]]&lt;&gt;0)</f>
        <v>0</v>
      </c>
      <c r="P374">
        <f>NETWORKDAYS(Table1[[#This Row],[ts_event]],Table1[[#This Row],[option_expiry_date]])</f>
        <v>153</v>
      </c>
      <c r="Q374">
        <f>Table1[[#This Row],[Column2]]/252</f>
        <v>0.6071428571428571</v>
      </c>
      <c r="R374" s="2" t="e">
        <f>IF(Table1[[#This Row],[CHECK2]]=0,NA(),
-(1/Table1[[#This Row],[T]])*LN((Table1[[#This Row],[S0]]-Table1[[#This Row],[C]]+Table1[[#This Row],[P]])/Table1[[#This Row],[K]])
)</f>
        <v>#N/A</v>
      </c>
    </row>
    <row r="375" spans="1:18">
      <c r="A375">
        <v>1</v>
      </c>
      <c r="B375" t="s">
        <v>10</v>
      </c>
      <c r="C375" s="1">
        <v>46140</v>
      </c>
      <c r="D375" t="s">
        <v>20</v>
      </c>
      <c r="E375">
        <v>80</v>
      </c>
      <c r="F375" t="s">
        <v>12</v>
      </c>
      <c r="G375" t="s">
        <v>13</v>
      </c>
      <c r="H375" s="1">
        <v>46352</v>
      </c>
      <c r="I375">
        <v>0</v>
      </c>
      <c r="J375">
        <v>3.22</v>
      </c>
      <c r="K375">
        <v>0</v>
      </c>
      <c r="L375">
        <v>300</v>
      </c>
      <c r="M375">
        <v>43.215000000000003</v>
      </c>
      <c r="N375">
        <v>1.9319999999999999</v>
      </c>
      <c r="O375">
        <f>(Table1[[#This Row],[P]]&lt;&gt;0)*(Table1[[#This Row],[C]]&lt;&gt;0)</f>
        <v>0</v>
      </c>
      <c r="P375">
        <f>NETWORKDAYS(Table1[[#This Row],[ts_event]],Table1[[#This Row],[option_expiry_date]])</f>
        <v>153</v>
      </c>
      <c r="Q375">
        <f>Table1[[#This Row],[Column2]]/252</f>
        <v>0.6071428571428571</v>
      </c>
      <c r="R375" s="2" t="e">
        <f>IF(Table1[[#This Row],[CHECK2]]=0,NA(),
-(1/Table1[[#This Row],[T]])*LN((Table1[[#This Row],[S0]]-Table1[[#This Row],[C]]+Table1[[#This Row],[P]])/Table1[[#This Row],[K]])
)</f>
        <v>#N/A</v>
      </c>
    </row>
    <row r="376" spans="1:18">
      <c r="A376">
        <v>1</v>
      </c>
      <c r="B376" t="s">
        <v>10</v>
      </c>
      <c r="C376" s="1">
        <v>46140</v>
      </c>
      <c r="D376" t="s">
        <v>19</v>
      </c>
      <c r="E376">
        <v>60</v>
      </c>
      <c r="F376" t="s">
        <v>12</v>
      </c>
      <c r="G376" t="s">
        <v>13</v>
      </c>
      <c r="H376" s="1">
        <v>46380</v>
      </c>
      <c r="I376">
        <v>0</v>
      </c>
      <c r="J376">
        <v>6.4749999999999996</v>
      </c>
      <c r="K376">
        <v>0</v>
      </c>
      <c r="L376">
        <v>500</v>
      </c>
      <c r="M376">
        <v>43.267307692307597</v>
      </c>
      <c r="N376">
        <v>1.9319999999999999</v>
      </c>
      <c r="O376">
        <f>(Table1[[#This Row],[P]]&lt;&gt;0)*(Table1[[#This Row],[C]]&lt;&gt;0)</f>
        <v>0</v>
      </c>
      <c r="P376">
        <f>NETWORKDAYS(Table1[[#This Row],[ts_event]],Table1[[#This Row],[option_expiry_date]])</f>
        <v>173</v>
      </c>
      <c r="Q376">
        <f>Table1[[#This Row],[Column2]]/252</f>
        <v>0.68650793650793651</v>
      </c>
      <c r="R376" s="2" t="e">
        <f>IF(Table1[[#This Row],[CHECK2]]=0,NA(),
-(1/Table1[[#This Row],[T]])*LN((Table1[[#This Row],[S0]]-Table1[[#This Row],[C]]+Table1[[#This Row],[P]])/Table1[[#This Row],[K]])
)</f>
        <v>#N/A</v>
      </c>
    </row>
    <row r="377" spans="1:18">
      <c r="A377">
        <v>1</v>
      </c>
      <c r="B377" t="s">
        <v>10</v>
      </c>
      <c r="C377" s="1">
        <v>46140</v>
      </c>
      <c r="D377" t="s">
        <v>19</v>
      </c>
      <c r="E377">
        <v>90</v>
      </c>
      <c r="F377" t="s">
        <v>12</v>
      </c>
      <c r="G377" t="s">
        <v>13</v>
      </c>
      <c r="H377" s="1">
        <v>46380</v>
      </c>
      <c r="I377">
        <v>0</v>
      </c>
      <c r="J377">
        <v>3.7</v>
      </c>
      <c r="K377">
        <v>0</v>
      </c>
      <c r="L377">
        <v>200</v>
      </c>
      <c r="M377">
        <v>43.267307692307597</v>
      </c>
      <c r="N377">
        <v>1.9319999999999999</v>
      </c>
      <c r="O377">
        <f>(Table1[[#This Row],[P]]&lt;&gt;0)*(Table1[[#This Row],[C]]&lt;&gt;0)</f>
        <v>0</v>
      </c>
      <c r="P377">
        <f>NETWORKDAYS(Table1[[#This Row],[ts_event]],Table1[[#This Row],[option_expiry_date]])</f>
        <v>173</v>
      </c>
      <c r="Q377">
        <f>Table1[[#This Row],[Column2]]/252</f>
        <v>0.68650793650793651</v>
      </c>
      <c r="R377" s="2" t="e">
        <f>IF(Table1[[#This Row],[CHECK2]]=0,NA(),
-(1/Table1[[#This Row],[T]])*LN((Table1[[#This Row],[S0]]-Table1[[#This Row],[C]]+Table1[[#This Row],[P]])/Table1[[#This Row],[K]])
)</f>
        <v>#N/A</v>
      </c>
    </row>
    <row r="378" spans="1:18">
      <c r="A378">
        <v>1</v>
      </c>
      <c r="B378" t="s">
        <v>10</v>
      </c>
      <c r="C378" s="1">
        <v>46141</v>
      </c>
      <c r="D378" t="s">
        <v>14</v>
      </c>
      <c r="E378">
        <v>25</v>
      </c>
      <c r="F378" t="s">
        <v>12</v>
      </c>
      <c r="G378" t="s">
        <v>13</v>
      </c>
      <c r="H378" s="1">
        <v>46169</v>
      </c>
      <c r="I378">
        <v>0.05</v>
      </c>
      <c r="J378">
        <v>0</v>
      </c>
      <c r="K378">
        <v>200</v>
      </c>
      <c r="L378">
        <v>0</v>
      </c>
      <c r="M378">
        <v>47.470238542027801</v>
      </c>
      <c r="N378">
        <v>1.9319999999999999</v>
      </c>
      <c r="O378">
        <f>(Table1[[#This Row],[P]]&lt;&gt;0)*(Table1[[#This Row],[C]]&lt;&gt;0)</f>
        <v>0</v>
      </c>
      <c r="P378">
        <f>NETWORKDAYS(Table1[[#This Row],[ts_event]],Table1[[#This Row],[option_expiry_date]])</f>
        <v>21</v>
      </c>
      <c r="Q378">
        <f>Table1[[#This Row],[Column2]]/252</f>
        <v>8.3333333333333329E-2</v>
      </c>
      <c r="R378" s="2" t="e">
        <f>IF(Table1[[#This Row],[CHECK2]]=0,NA(),
-(1/Table1[[#This Row],[T]])*LN((Table1[[#This Row],[S0]]-Table1[[#This Row],[C]]+Table1[[#This Row],[P]])/Table1[[#This Row],[K]])
)</f>
        <v>#N/A</v>
      </c>
    </row>
    <row r="379" spans="1:18">
      <c r="A379">
        <v>1</v>
      </c>
      <c r="B379" t="s">
        <v>10</v>
      </c>
      <c r="C379" s="1">
        <v>46141</v>
      </c>
      <c r="D379" t="s">
        <v>14</v>
      </c>
      <c r="E379">
        <v>33</v>
      </c>
      <c r="F379" t="s">
        <v>12</v>
      </c>
      <c r="G379" t="s">
        <v>13</v>
      </c>
      <c r="H379" s="1">
        <v>46169</v>
      </c>
      <c r="I379">
        <v>0.255</v>
      </c>
      <c r="J379">
        <v>0</v>
      </c>
      <c r="K379">
        <v>2200</v>
      </c>
      <c r="L379">
        <v>0</v>
      </c>
      <c r="M379">
        <v>47.470238542027801</v>
      </c>
      <c r="N379">
        <v>1.9319999999999999</v>
      </c>
      <c r="O379">
        <f>(Table1[[#This Row],[P]]&lt;&gt;0)*(Table1[[#This Row],[C]]&lt;&gt;0)</f>
        <v>0</v>
      </c>
      <c r="P379">
        <f>NETWORKDAYS(Table1[[#This Row],[ts_event]],Table1[[#This Row],[option_expiry_date]])</f>
        <v>21</v>
      </c>
      <c r="Q379">
        <f>Table1[[#This Row],[Column2]]/252</f>
        <v>8.3333333333333329E-2</v>
      </c>
      <c r="R379" s="2" t="e">
        <f>IF(Table1[[#This Row],[CHECK2]]=0,NA(),
-(1/Table1[[#This Row],[T]])*LN((Table1[[#This Row],[S0]]-Table1[[#This Row],[C]]+Table1[[#This Row],[P]])/Table1[[#This Row],[K]])
)</f>
        <v>#N/A</v>
      </c>
    </row>
    <row r="380" spans="1:18">
      <c r="A380">
        <v>2</v>
      </c>
      <c r="B380" t="s">
        <v>10</v>
      </c>
      <c r="C380" s="1">
        <v>46141</v>
      </c>
      <c r="D380" t="s">
        <v>14</v>
      </c>
      <c r="E380">
        <v>35</v>
      </c>
      <c r="F380" t="s">
        <v>12</v>
      </c>
      <c r="G380" t="s">
        <v>13</v>
      </c>
      <c r="H380" s="1">
        <v>46169</v>
      </c>
      <c r="I380">
        <v>0.447326732673267</v>
      </c>
      <c r="J380">
        <v>0</v>
      </c>
      <c r="K380">
        <v>5050</v>
      </c>
      <c r="L380">
        <v>0</v>
      </c>
      <c r="M380">
        <v>47.470238542027801</v>
      </c>
      <c r="N380">
        <v>1.9319999999999999</v>
      </c>
      <c r="O380">
        <f>(Table1[[#This Row],[P]]&lt;&gt;0)*(Table1[[#This Row],[C]]&lt;&gt;0)</f>
        <v>0</v>
      </c>
      <c r="P380">
        <f>NETWORKDAYS(Table1[[#This Row],[ts_event]],Table1[[#This Row],[option_expiry_date]])</f>
        <v>21</v>
      </c>
      <c r="Q380">
        <f>Table1[[#This Row],[Column2]]/252</f>
        <v>8.3333333333333329E-2</v>
      </c>
      <c r="R380" s="2" t="e">
        <f>IF(Table1[[#This Row],[CHECK2]]=0,NA(),
-(1/Table1[[#This Row],[T]])*LN((Table1[[#This Row],[S0]]-Table1[[#This Row],[C]]+Table1[[#This Row],[P]])/Table1[[#This Row],[K]])
)</f>
        <v>#N/A</v>
      </c>
    </row>
    <row r="381" spans="1:18">
      <c r="A381">
        <v>1</v>
      </c>
      <c r="B381" t="s">
        <v>10</v>
      </c>
      <c r="C381" s="1">
        <v>46141</v>
      </c>
      <c r="D381" t="s">
        <v>14</v>
      </c>
      <c r="E381">
        <v>36</v>
      </c>
      <c r="F381" t="s">
        <v>12</v>
      </c>
      <c r="G381" t="s">
        <v>13</v>
      </c>
      <c r="H381" s="1">
        <v>46169</v>
      </c>
      <c r="I381">
        <v>0.51</v>
      </c>
      <c r="J381">
        <v>0</v>
      </c>
      <c r="K381">
        <v>1200</v>
      </c>
      <c r="L381">
        <v>0</v>
      </c>
      <c r="M381">
        <v>47.470238542027801</v>
      </c>
      <c r="N381">
        <v>1.9319999999999999</v>
      </c>
      <c r="O381">
        <f>(Table1[[#This Row],[P]]&lt;&gt;0)*(Table1[[#This Row],[C]]&lt;&gt;0)</f>
        <v>0</v>
      </c>
      <c r="P381">
        <f>NETWORKDAYS(Table1[[#This Row],[ts_event]],Table1[[#This Row],[option_expiry_date]])</f>
        <v>21</v>
      </c>
      <c r="Q381">
        <f>Table1[[#This Row],[Column2]]/252</f>
        <v>8.3333333333333329E-2</v>
      </c>
      <c r="R381" s="2" t="e">
        <f>IF(Table1[[#This Row],[CHECK2]]=0,NA(),
-(1/Table1[[#This Row],[T]])*LN((Table1[[#This Row],[S0]]-Table1[[#This Row],[C]]+Table1[[#This Row],[P]])/Table1[[#This Row],[K]])
)</f>
        <v>#N/A</v>
      </c>
    </row>
    <row r="382" spans="1:18">
      <c r="A382">
        <v>1</v>
      </c>
      <c r="B382" t="s">
        <v>10</v>
      </c>
      <c r="C382" s="1">
        <v>46141</v>
      </c>
      <c r="D382" t="s">
        <v>14</v>
      </c>
      <c r="E382">
        <v>36.5</v>
      </c>
      <c r="F382" t="s">
        <v>12</v>
      </c>
      <c r="G382" t="s">
        <v>13</v>
      </c>
      <c r="H382" s="1">
        <v>46169</v>
      </c>
      <c r="I382">
        <v>0.84</v>
      </c>
      <c r="J382">
        <v>0</v>
      </c>
      <c r="K382">
        <v>25</v>
      </c>
      <c r="L382">
        <v>0</v>
      </c>
      <c r="M382">
        <v>47.470238542027801</v>
      </c>
      <c r="N382">
        <v>1.9319999999999999</v>
      </c>
      <c r="O382">
        <f>(Table1[[#This Row],[P]]&lt;&gt;0)*(Table1[[#This Row],[C]]&lt;&gt;0)</f>
        <v>0</v>
      </c>
      <c r="P382">
        <f>NETWORKDAYS(Table1[[#This Row],[ts_event]],Table1[[#This Row],[option_expiry_date]])</f>
        <v>21</v>
      </c>
      <c r="Q382">
        <f>Table1[[#This Row],[Column2]]/252</f>
        <v>8.3333333333333329E-2</v>
      </c>
      <c r="R382" s="2" t="e">
        <f>IF(Table1[[#This Row],[CHECK2]]=0,NA(),
-(1/Table1[[#This Row],[T]])*LN((Table1[[#This Row],[S0]]-Table1[[#This Row],[C]]+Table1[[#This Row],[P]])/Table1[[#This Row],[K]])
)</f>
        <v>#N/A</v>
      </c>
    </row>
    <row r="383" spans="1:18">
      <c r="A383">
        <v>1</v>
      </c>
      <c r="B383" t="s">
        <v>10</v>
      </c>
      <c r="C383" s="1">
        <v>46141</v>
      </c>
      <c r="D383" t="s">
        <v>14</v>
      </c>
      <c r="E383">
        <v>37</v>
      </c>
      <c r="F383" t="s">
        <v>12</v>
      </c>
      <c r="G383" t="s">
        <v>13</v>
      </c>
      <c r="H383" s="1">
        <v>46169</v>
      </c>
      <c r="I383">
        <v>0.75</v>
      </c>
      <c r="J383">
        <v>0</v>
      </c>
      <c r="K383">
        <v>150</v>
      </c>
      <c r="L383">
        <v>0</v>
      </c>
      <c r="M383">
        <v>47.470238542027801</v>
      </c>
      <c r="N383">
        <v>1.9319999999999999</v>
      </c>
      <c r="O383">
        <f>(Table1[[#This Row],[P]]&lt;&gt;0)*(Table1[[#This Row],[C]]&lt;&gt;0)</f>
        <v>0</v>
      </c>
      <c r="P383">
        <f>NETWORKDAYS(Table1[[#This Row],[ts_event]],Table1[[#This Row],[option_expiry_date]])</f>
        <v>21</v>
      </c>
      <c r="Q383">
        <f>Table1[[#This Row],[Column2]]/252</f>
        <v>8.3333333333333329E-2</v>
      </c>
      <c r="R383" s="2" t="e">
        <f>IF(Table1[[#This Row],[CHECK2]]=0,NA(),
-(1/Table1[[#This Row],[T]])*LN((Table1[[#This Row],[S0]]-Table1[[#This Row],[C]]+Table1[[#This Row],[P]])/Table1[[#This Row],[K]])
)</f>
        <v>#N/A</v>
      </c>
    </row>
    <row r="384" spans="1:18">
      <c r="A384">
        <v>2</v>
      </c>
      <c r="B384" t="s">
        <v>10</v>
      </c>
      <c r="C384" s="1">
        <v>46141</v>
      </c>
      <c r="D384" t="s">
        <v>14</v>
      </c>
      <c r="E384">
        <v>38</v>
      </c>
      <c r="F384" t="s">
        <v>12</v>
      </c>
      <c r="G384" t="s">
        <v>13</v>
      </c>
      <c r="H384" s="1">
        <v>46169</v>
      </c>
      <c r="I384">
        <v>1.0037804878048699</v>
      </c>
      <c r="J384">
        <v>0</v>
      </c>
      <c r="K384">
        <v>410</v>
      </c>
      <c r="L384">
        <v>0</v>
      </c>
      <c r="M384">
        <v>47.470238542027801</v>
      </c>
      <c r="N384">
        <v>1.9319999999999999</v>
      </c>
      <c r="O384">
        <f>(Table1[[#This Row],[P]]&lt;&gt;0)*(Table1[[#This Row],[C]]&lt;&gt;0)</f>
        <v>0</v>
      </c>
      <c r="P384">
        <f>NETWORKDAYS(Table1[[#This Row],[ts_event]],Table1[[#This Row],[option_expiry_date]])</f>
        <v>21</v>
      </c>
      <c r="Q384">
        <f>Table1[[#This Row],[Column2]]/252</f>
        <v>8.3333333333333329E-2</v>
      </c>
      <c r="R384" s="2" t="e">
        <f>IF(Table1[[#This Row],[CHECK2]]=0,NA(),
-(1/Table1[[#This Row],[T]])*LN((Table1[[#This Row],[S0]]-Table1[[#This Row],[C]]+Table1[[#This Row],[P]])/Table1[[#This Row],[K]])
)</f>
        <v>#N/A</v>
      </c>
    </row>
    <row r="385" spans="1:18">
      <c r="A385">
        <v>2</v>
      </c>
      <c r="B385" t="s">
        <v>10</v>
      </c>
      <c r="C385" s="1">
        <v>46141</v>
      </c>
      <c r="D385" t="s">
        <v>14</v>
      </c>
      <c r="E385">
        <v>40</v>
      </c>
      <c r="F385" t="s">
        <v>12</v>
      </c>
      <c r="G385" t="s">
        <v>13</v>
      </c>
      <c r="H385" s="1">
        <v>46169</v>
      </c>
      <c r="I385">
        <v>1.4202477876106101</v>
      </c>
      <c r="J385">
        <v>0</v>
      </c>
      <c r="K385">
        <v>2825</v>
      </c>
      <c r="L385">
        <v>0</v>
      </c>
      <c r="M385">
        <v>47.470238542027801</v>
      </c>
      <c r="N385">
        <v>1.9319999999999999</v>
      </c>
      <c r="O385">
        <f>(Table1[[#This Row],[P]]&lt;&gt;0)*(Table1[[#This Row],[C]]&lt;&gt;0)</f>
        <v>0</v>
      </c>
      <c r="P385">
        <f>NETWORKDAYS(Table1[[#This Row],[ts_event]],Table1[[#This Row],[option_expiry_date]])</f>
        <v>21</v>
      </c>
      <c r="Q385">
        <f>Table1[[#This Row],[Column2]]/252</f>
        <v>8.3333333333333329E-2</v>
      </c>
      <c r="R385" s="2" t="e">
        <f>IF(Table1[[#This Row],[CHECK2]]=0,NA(),
-(1/Table1[[#This Row],[T]])*LN((Table1[[#This Row],[S0]]-Table1[[#This Row],[C]]+Table1[[#This Row],[P]])/Table1[[#This Row],[K]])
)</f>
        <v>#N/A</v>
      </c>
    </row>
    <row r="386" spans="1:18">
      <c r="A386">
        <v>1</v>
      </c>
      <c r="B386" t="s">
        <v>10</v>
      </c>
      <c r="C386" s="1">
        <v>46141</v>
      </c>
      <c r="D386" t="s">
        <v>14</v>
      </c>
      <c r="E386">
        <v>41</v>
      </c>
      <c r="F386" t="s">
        <v>12</v>
      </c>
      <c r="G386" t="s">
        <v>13</v>
      </c>
      <c r="H386" s="1">
        <v>46169</v>
      </c>
      <c r="I386">
        <v>2.1549999999999998</v>
      </c>
      <c r="J386">
        <v>0</v>
      </c>
      <c r="K386">
        <v>400</v>
      </c>
      <c r="L386">
        <v>0</v>
      </c>
      <c r="M386">
        <v>47.470238542027801</v>
      </c>
      <c r="N386">
        <v>1.9319999999999999</v>
      </c>
      <c r="O386">
        <f>(Table1[[#This Row],[P]]&lt;&gt;0)*(Table1[[#This Row],[C]]&lt;&gt;0)</f>
        <v>0</v>
      </c>
      <c r="P386">
        <f>NETWORKDAYS(Table1[[#This Row],[ts_event]],Table1[[#This Row],[option_expiry_date]])</f>
        <v>21</v>
      </c>
      <c r="Q386">
        <f>Table1[[#This Row],[Column2]]/252</f>
        <v>8.3333333333333329E-2</v>
      </c>
      <c r="R386" s="2" t="e">
        <f>IF(Table1[[#This Row],[CHECK2]]=0,NA(),
-(1/Table1[[#This Row],[T]])*LN((Table1[[#This Row],[S0]]-Table1[[#This Row],[C]]+Table1[[#This Row],[P]])/Table1[[#This Row],[K]])
)</f>
        <v>#N/A</v>
      </c>
    </row>
    <row r="387" spans="1:18">
      <c r="A387">
        <v>3</v>
      </c>
      <c r="B387" t="s">
        <v>10</v>
      </c>
      <c r="C387" s="1">
        <v>46141</v>
      </c>
      <c r="D387" t="s">
        <v>14</v>
      </c>
      <c r="E387">
        <v>44</v>
      </c>
      <c r="F387" t="s">
        <v>12</v>
      </c>
      <c r="G387" t="s">
        <v>13</v>
      </c>
      <c r="H387" s="1">
        <v>46169</v>
      </c>
      <c r="I387">
        <v>3.6979653679653599</v>
      </c>
      <c r="J387">
        <v>4.6900000000000004</v>
      </c>
      <c r="K387">
        <v>1155</v>
      </c>
      <c r="L387">
        <v>250</v>
      </c>
      <c r="M387">
        <v>47.470238542027801</v>
      </c>
      <c r="N387">
        <v>1.9319999999999999</v>
      </c>
      <c r="O387">
        <f>(Table1[[#This Row],[P]]&lt;&gt;0)*(Table1[[#This Row],[C]]&lt;&gt;0)</f>
        <v>1</v>
      </c>
      <c r="P387">
        <f>NETWORKDAYS(Table1[[#This Row],[ts_event]],Table1[[#This Row],[option_expiry_date]])</f>
        <v>21</v>
      </c>
      <c r="Q387">
        <f>Table1[[#This Row],[Column2]]/252</f>
        <v>8.3333333333333329E-2</v>
      </c>
      <c r="R387" s="2">
        <f>IF(Table1[[#This Row],[CHECK2]]=0,NA(),
-(1/Table1[[#This Row],[T]])*LN((Table1[[#This Row],[S0]]-Table1[[#This Row],[C]]+Table1[[#This Row],[P]])/Table1[[#This Row],[K]])
)</f>
        <v>-0.65752602800296767</v>
      </c>
    </row>
    <row r="388" spans="1:18">
      <c r="A388">
        <v>3</v>
      </c>
      <c r="B388" t="s">
        <v>10</v>
      </c>
      <c r="C388" s="1">
        <v>46141</v>
      </c>
      <c r="D388" t="s">
        <v>14</v>
      </c>
      <c r="E388">
        <v>45</v>
      </c>
      <c r="F388" t="s">
        <v>12</v>
      </c>
      <c r="G388" t="s">
        <v>13</v>
      </c>
      <c r="H388" s="1">
        <v>46169</v>
      </c>
      <c r="I388">
        <v>4.07</v>
      </c>
      <c r="J388">
        <v>4.2715624999999999</v>
      </c>
      <c r="K388">
        <v>550</v>
      </c>
      <c r="L388">
        <v>960</v>
      </c>
      <c r="M388">
        <v>47.470238542027801</v>
      </c>
      <c r="N388">
        <v>1.9319999999999999</v>
      </c>
      <c r="O388">
        <f>(Table1[[#This Row],[P]]&lt;&gt;0)*(Table1[[#This Row],[C]]&lt;&gt;0)</f>
        <v>1</v>
      </c>
      <c r="P388">
        <f>NETWORKDAYS(Table1[[#This Row],[ts_event]],Table1[[#This Row],[option_expiry_date]])</f>
        <v>21</v>
      </c>
      <c r="Q388">
        <f>Table1[[#This Row],[Column2]]/252</f>
        <v>8.3333333333333329E-2</v>
      </c>
      <c r="R388" s="2">
        <f>IF(Table1[[#This Row],[CHECK2]]=0,NA(),
-(1/Table1[[#This Row],[T]])*LN((Table1[[#This Row],[S0]]-Table1[[#This Row],[C]]+Table1[[#This Row],[P]])/Table1[[#This Row],[K]])
)</f>
        <v>-0.5902241546814444</v>
      </c>
    </row>
    <row r="389" spans="1:18">
      <c r="A389">
        <v>2</v>
      </c>
      <c r="B389" t="s">
        <v>10</v>
      </c>
      <c r="C389" s="1">
        <v>46141</v>
      </c>
      <c r="D389" t="s">
        <v>14</v>
      </c>
      <c r="E389">
        <v>46</v>
      </c>
      <c r="F389" t="s">
        <v>12</v>
      </c>
      <c r="G389" t="s">
        <v>13</v>
      </c>
      <c r="H389" s="1">
        <v>46169</v>
      </c>
      <c r="I389">
        <v>4.17</v>
      </c>
      <c r="J389">
        <v>3.9</v>
      </c>
      <c r="K389">
        <v>10</v>
      </c>
      <c r="L389">
        <v>550</v>
      </c>
      <c r="M389">
        <v>47.470238542027801</v>
      </c>
      <c r="N389">
        <v>1.9319999999999999</v>
      </c>
      <c r="O389">
        <f>(Table1[[#This Row],[P]]&lt;&gt;0)*(Table1[[#This Row],[C]]&lt;&gt;0)</f>
        <v>1</v>
      </c>
      <c r="P389">
        <f>NETWORKDAYS(Table1[[#This Row],[ts_event]],Table1[[#This Row],[option_expiry_date]])</f>
        <v>21</v>
      </c>
      <c r="Q389">
        <f>Table1[[#This Row],[Column2]]/252</f>
        <v>8.3333333333333329E-2</v>
      </c>
      <c r="R389" s="2">
        <f>IF(Table1[[#This Row],[CHECK2]]=0,NA(),
-(1/Table1[[#This Row],[T]])*LN((Table1[[#This Row],[S0]]-Table1[[#This Row],[C]]+Table1[[#This Row],[P]])/Table1[[#This Row],[K]])
)</f>
        <v>-0.44559865320113212</v>
      </c>
    </row>
    <row r="390" spans="1:18">
      <c r="A390">
        <v>1</v>
      </c>
      <c r="B390" t="s">
        <v>10</v>
      </c>
      <c r="C390" s="1">
        <v>46141</v>
      </c>
      <c r="D390" t="s">
        <v>14</v>
      </c>
      <c r="E390">
        <v>47</v>
      </c>
      <c r="F390" t="s">
        <v>12</v>
      </c>
      <c r="G390" t="s">
        <v>13</v>
      </c>
      <c r="H390" s="1">
        <v>46169</v>
      </c>
      <c r="I390">
        <v>0</v>
      </c>
      <c r="J390">
        <v>3.3</v>
      </c>
      <c r="K390">
        <v>0</v>
      </c>
      <c r="L390">
        <v>110</v>
      </c>
      <c r="M390">
        <v>47.470238542027801</v>
      </c>
      <c r="N390">
        <v>1.9319999999999999</v>
      </c>
      <c r="O390">
        <f>(Table1[[#This Row],[P]]&lt;&gt;0)*(Table1[[#This Row],[C]]&lt;&gt;0)</f>
        <v>0</v>
      </c>
      <c r="P390">
        <f>NETWORKDAYS(Table1[[#This Row],[ts_event]],Table1[[#This Row],[option_expiry_date]])</f>
        <v>21</v>
      </c>
      <c r="Q390">
        <f>Table1[[#This Row],[Column2]]/252</f>
        <v>8.3333333333333329E-2</v>
      </c>
      <c r="R390" s="2" t="e">
        <f>IF(Table1[[#This Row],[CHECK2]]=0,NA(),
-(1/Table1[[#This Row],[T]])*LN((Table1[[#This Row],[S0]]-Table1[[#This Row],[C]]+Table1[[#This Row],[P]])/Table1[[#This Row],[K]])
)</f>
        <v>#N/A</v>
      </c>
    </row>
    <row r="391" spans="1:18">
      <c r="A391">
        <v>2</v>
      </c>
      <c r="B391" t="s">
        <v>10</v>
      </c>
      <c r="C391" s="1">
        <v>46141</v>
      </c>
      <c r="D391" t="s">
        <v>14</v>
      </c>
      <c r="E391">
        <v>48</v>
      </c>
      <c r="F391" t="s">
        <v>12</v>
      </c>
      <c r="G391" t="s">
        <v>13</v>
      </c>
      <c r="H391" s="1">
        <v>46169</v>
      </c>
      <c r="I391">
        <v>0</v>
      </c>
      <c r="J391">
        <v>3.7657407407407399</v>
      </c>
      <c r="K391">
        <v>0</v>
      </c>
      <c r="L391">
        <v>135</v>
      </c>
      <c r="M391">
        <v>47.470238542027801</v>
      </c>
      <c r="N391">
        <v>1.9319999999999999</v>
      </c>
      <c r="O391">
        <f>(Table1[[#This Row],[P]]&lt;&gt;0)*(Table1[[#This Row],[C]]&lt;&gt;0)</f>
        <v>0</v>
      </c>
      <c r="P391">
        <f>NETWORKDAYS(Table1[[#This Row],[ts_event]],Table1[[#This Row],[option_expiry_date]])</f>
        <v>21</v>
      </c>
      <c r="Q391">
        <f>Table1[[#This Row],[Column2]]/252</f>
        <v>8.3333333333333329E-2</v>
      </c>
      <c r="R391" s="2" t="e">
        <f>IF(Table1[[#This Row],[CHECK2]]=0,NA(),
-(1/Table1[[#This Row],[T]])*LN((Table1[[#This Row],[S0]]-Table1[[#This Row],[C]]+Table1[[#This Row],[P]])/Table1[[#This Row],[K]])
)</f>
        <v>#N/A</v>
      </c>
    </row>
    <row r="392" spans="1:18">
      <c r="A392">
        <v>2</v>
      </c>
      <c r="B392" t="s">
        <v>10</v>
      </c>
      <c r="C392" s="1">
        <v>46141</v>
      </c>
      <c r="D392" t="s">
        <v>14</v>
      </c>
      <c r="E392">
        <v>50</v>
      </c>
      <c r="F392" t="s">
        <v>12</v>
      </c>
      <c r="G392" t="s">
        <v>13</v>
      </c>
      <c r="H392" s="1">
        <v>46169</v>
      </c>
      <c r="I392">
        <v>0</v>
      </c>
      <c r="J392">
        <v>3.3597678916827798</v>
      </c>
      <c r="K392">
        <v>0</v>
      </c>
      <c r="L392">
        <v>2585</v>
      </c>
      <c r="M392">
        <v>47.470238542027801</v>
      </c>
      <c r="N392">
        <v>1.9319999999999999</v>
      </c>
      <c r="O392">
        <f>(Table1[[#This Row],[P]]&lt;&gt;0)*(Table1[[#This Row],[C]]&lt;&gt;0)</f>
        <v>0</v>
      </c>
      <c r="P392">
        <f>NETWORKDAYS(Table1[[#This Row],[ts_event]],Table1[[#This Row],[option_expiry_date]])</f>
        <v>21</v>
      </c>
      <c r="Q392">
        <f>Table1[[#This Row],[Column2]]/252</f>
        <v>8.3333333333333329E-2</v>
      </c>
      <c r="R392" s="2" t="e">
        <f>IF(Table1[[#This Row],[CHECK2]]=0,NA(),
-(1/Table1[[#This Row],[T]])*LN((Table1[[#This Row],[S0]]-Table1[[#This Row],[C]]+Table1[[#This Row],[P]])/Table1[[#This Row],[K]])
)</f>
        <v>#N/A</v>
      </c>
    </row>
    <row r="393" spans="1:18">
      <c r="A393">
        <v>2</v>
      </c>
      <c r="B393" t="s">
        <v>10</v>
      </c>
      <c r="C393" s="1">
        <v>46141</v>
      </c>
      <c r="D393" t="s">
        <v>14</v>
      </c>
      <c r="E393">
        <v>55</v>
      </c>
      <c r="F393" t="s">
        <v>12</v>
      </c>
      <c r="G393" t="s">
        <v>13</v>
      </c>
      <c r="H393" s="1">
        <v>46169</v>
      </c>
      <c r="I393">
        <v>0</v>
      </c>
      <c r="J393">
        <v>2.21762589928057</v>
      </c>
      <c r="K393">
        <v>0</v>
      </c>
      <c r="L393">
        <v>1390</v>
      </c>
      <c r="M393">
        <v>47.470238542027801</v>
      </c>
      <c r="N393">
        <v>1.9319999999999999</v>
      </c>
      <c r="O393">
        <f>(Table1[[#This Row],[P]]&lt;&gt;0)*(Table1[[#This Row],[C]]&lt;&gt;0)</f>
        <v>0</v>
      </c>
      <c r="P393">
        <f>NETWORKDAYS(Table1[[#This Row],[ts_event]],Table1[[#This Row],[option_expiry_date]])</f>
        <v>21</v>
      </c>
      <c r="Q393">
        <f>Table1[[#This Row],[Column2]]/252</f>
        <v>8.3333333333333329E-2</v>
      </c>
      <c r="R393" s="2" t="e">
        <f>IF(Table1[[#This Row],[CHECK2]]=0,NA(),
-(1/Table1[[#This Row],[T]])*LN((Table1[[#This Row],[S0]]-Table1[[#This Row],[C]]+Table1[[#This Row],[P]])/Table1[[#This Row],[K]])
)</f>
        <v>#N/A</v>
      </c>
    </row>
    <row r="394" spans="1:18">
      <c r="A394">
        <v>1</v>
      </c>
      <c r="B394" t="s">
        <v>10</v>
      </c>
      <c r="C394" s="1">
        <v>46141</v>
      </c>
      <c r="D394" t="s">
        <v>14</v>
      </c>
      <c r="E394">
        <v>56</v>
      </c>
      <c r="F394" t="s">
        <v>12</v>
      </c>
      <c r="G394" t="s">
        <v>13</v>
      </c>
      <c r="H394" s="1">
        <v>46169</v>
      </c>
      <c r="I394">
        <v>0</v>
      </c>
      <c r="J394">
        <v>1.66</v>
      </c>
      <c r="K394">
        <v>0</v>
      </c>
      <c r="L394">
        <v>50</v>
      </c>
      <c r="M394">
        <v>47.470238542027801</v>
      </c>
      <c r="N394">
        <v>1.9319999999999999</v>
      </c>
      <c r="O394">
        <f>(Table1[[#This Row],[P]]&lt;&gt;0)*(Table1[[#This Row],[C]]&lt;&gt;0)</f>
        <v>0</v>
      </c>
      <c r="P394">
        <f>NETWORKDAYS(Table1[[#This Row],[ts_event]],Table1[[#This Row],[option_expiry_date]])</f>
        <v>21</v>
      </c>
      <c r="Q394">
        <f>Table1[[#This Row],[Column2]]/252</f>
        <v>8.3333333333333329E-2</v>
      </c>
      <c r="R394" s="2" t="e">
        <f>IF(Table1[[#This Row],[CHECK2]]=0,NA(),
-(1/Table1[[#This Row],[T]])*LN((Table1[[#This Row],[S0]]-Table1[[#This Row],[C]]+Table1[[#This Row],[P]])/Table1[[#This Row],[K]])
)</f>
        <v>#N/A</v>
      </c>
    </row>
    <row r="395" spans="1:18">
      <c r="A395">
        <v>2</v>
      </c>
      <c r="B395" t="s">
        <v>10</v>
      </c>
      <c r="C395" s="1">
        <v>46141</v>
      </c>
      <c r="D395" t="s">
        <v>14</v>
      </c>
      <c r="E395">
        <v>60</v>
      </c>
      <c r="F395" t="s">
        <v>12</v>
      </c>
      <c r="G395" t="s">
        <v>13</v>
      </c>
      <c r="H395" s="1">
        <v>46169</v>
      </c>
      <c r="I395">
        <v>0</v>
      </c>
      <c r="J395">
        <v>1.8246808510638299</v>
      </c>
      <c r="K395">
        <v>0</v>
      </c>
      <c r="L395">
        <v>1410</v>
      </c>
      <c r="M395">
        <v>47.470238542027801</v>
      </c>
      <c r="N395">
        <v>1.9319999999999999</v>
      </c>
      <c r="O395">
        <f>(Table1[[#This Row],[P]]&lt;&gt;0)*(Table1[[#This Row],[C]]&lt;&gt;0)</f>
        <v>0</v>
      </c>
      <c r="P395">
        <f>NETWORKDAYS(Table1[[#This Row],[ts_event]],Table1[[#This Row],[option_expiry_date]])</f>
        <v>21</v>
      </c>
      <c r="Q395">
        <f>Table1[[#This Row],[Column2]]/252</f>
        <v>8.3333333333333329E-2</v>
      </c>
      <c r="R395" s="2" t="e">
        <f>IF(Table1[[#This Row],[CHECK2]]=0,NA(),
-(1/Table1[[#This Row],[T]])*LN((Table1[[#This Row],[S0]]-Table1[[#This Row],[C]]+Table1[[#This Row],[P]])/Table1[[#This Row],[K]])
)</f>
        <v>#N/A</v>
      </c>
    </row>
    <row r="396" spans="1:18">
      <c r="A396">
        <v>1</v>
      </c>
      <c r="B396" t="s">
        <v>10</v>
      </c>
      <c r="C396" s="1">
        <v>46141</v>
      </c>
      <c r="D396" t="s">
        <v>14</v>
      </c>
      <c r="E396">
        <v>62</v>
      </c>
      <c r="F396" t="s">
        <v>12</v>
      </c>
      <c r="G396" t="s">
        <v>13</v>
      </c>
      <c r="H396" s="1">
        <v>46169</v>
      </c>
      <c r="I396">
        <v>0</v>
      </c>
      <c r="J396">
        <v>1.1499999999999999</v>
      </c>
      <c r="K396">
        <v>0</v>
      </c>
      <c r="L396">
        <v>100</v>
      </c>
      <c r="M396">
        <v>47.470238542027801</v>
      </c>
      <c r="N396">
        <v>1.9319999999999999</v>
      </c>
      <c r="O396">
        <f>(Table1[[#This Row],[P]]&lt;&gt;0)*(Table1[[#This Row],[C]]&lt;&gt;0)</f>
        <v>0</v>
      </c>
      <c r="P396">
        <f>NETWORKDAYS(Table1[[#This Row],[ts_event]],Table1[[#This Row],[option_expiry_date]])</f>
        <v>21</v>
      </c>
      <c r="Q396">
        <f>Table1[[#This Row],[Column2]]/252</f>
        <v>8.3333333333333329E-2</v>
      </c>
      <c r="R396" s="2" t="e">
        <f>IF(Table1[[#This Row],[CHECK2]]=0,NA(),
-(1/Table1[[#This Row],[T]])*LN((Table1[[#This Row],[S0]]-Table1[[#This Row],[C]]+Table1[[#This Row],[P]])/Table1[[#This Row],[K]])
)</f>
        <v>#N/A</v>
      </c>
    </row>
    <row r="397" spans="1:18">
      <c r="A397">
        <v>1</v>
      </c>
      <c r="B397" t="s">
        <v>10</v>
      </c>
      <c r="C397" s="1">
        <v>46141</v>
      </c>
      <c r="D397" t="s">
        <v>14</v>
      </c>
      <c r="E397">
        <v>65</v>
      </c>
      <c r="F397" t="s">
        <v>12</v>
      </c>
      <c r="G397" t="s">
        <v>13</v>
      </c>
      <c r="H397" s="1">
        <v>46169</v>
      </c>
      <c r="I397">
        <v>0</v>
      </c>
      <c r="J397">
        <v>1.1100000000000001</v>
      </c>
      <c r="K397">
        <v>0</v>
      </c>
      <c r="L397">
        <v>300</v>
      </c>
      <c r="M397">
        <v>47.470238542027801</v>
      </c>
      <c r="N397">
        <v>1.9319999999999999</v>
      </c>
      <c r="O397">
        <f>(Table1[[#This Row],[P]]&lt;&gt;0)*(Table1[[#This Row],[C]]&lt;&gt;0)</f>
        <v>0</v>
      </c>
      <c r="P397">
        <f>NETWORKDAYS(Table1[[#This Row],[ts_event]],Table1[[#This Row],[option_expiry_date]])</f>
        <v>21</v>
      </c>
      <c r="Q397">
        <f>Table1[[#This Row],[Column2]]/252</f>
        <v>8.3333333333333329E-2</v>
      </c>
      <c r="R397" s="2" t="e">
        <f>IF(Table1[[#This Row],[CHECK2]]=0,NA(),
-(1/Table1[[#This Row],[T]])*LN((Table1[[#This Row],[S0]]-Table1[[#This Row],[C]]+Table1[[#This Row],[P]])/Table1[[#This Row],[K]])
)</f>
        <v>#N/A</v>
      </c>
    </row>
    <row r="398" spans="1:18">
      <c r="A398">
        <v>2</v>
      </c>
      <c r="B398" t="s">
        <v>10</v>
      </c>
      <c r="C398" s="1">
        <v>46141</v>
      </c>
      <c r="D398" t="s">
        <v>14</v>
      </c>
      <c r="E398">
        <v>70</v>
      </c>
      <c r="F398" t="s">
        <v>12</v>
      </c>
      <c r="G398" t="s">
        <v>13</v>
      </c>
      <c r="H398" s="1">
        <v>46169</v>
      </c>
      <c r="I398">
        <v>0</v>
      </c>
      <c r="J398">
        <v>0.94112903225806399</v>
      </c>
      <c r="K398">
        <v>0</v>
      </c>
      <c r="L398">
        <v>620</v>
      </c>
      <c r="M398">
        <v>47.470238542027801</v>
      </c>
      <c r="N398">
        <v>1.9319999999999999</v>
      </c>
      <c r="O398">
        <f>(Table1[[#This Row],[P]]&lt;&gt;0)*(Table1[[#This Row],[C]]&lt;&gt;0)</f>
        <v>0</v>
      </c>
      <c r="P398">
        <f>NETWORKDAYS(Table1[[#This Row],[ts_event]],Table1[[#This Row],[option_expiry_date]])</f>
        <v>21</v>
      </c>
      <c r="Q398">
        <f>Table1[[#This Row],[Column2]]/252</f>
        <v>8.3333333333333329E-2</v>
      </c>
      <c r="R398" s="2" t="e">
        <f>IF(Table1[[#This Row],[CHECK2]]=0,NA(),
-(1/Table1[[#This Row],[T]])*LN((Table1[[#This Row],[S0]]-Table1[[#This Row],[C]]+Table1[[#This Row],[P]])/Table1[[#This Row],[K]])
)</f>
        <v>#N/A</v>
      </c>
    </row>
    <row r="399" spans="1:18">
      <c r="A399">
        <v>1</v>
      </c>
      <c r="B399" t="s">
        <v>10</v>
      </c>
      <c r="C399" s="1">
        <v>46141</v>
      </c>
      <c r="D399" t="s">
        <v>14</v>
      </c>
      <c r="E399">
        <v>75</v>
      </c>
      <c r="F399" t="s">
        <v>12</v>
      </c>
      <c r="G399" t="s">
        <v>13</v>
      </c>
      <c r="H399" s="1">
        <v>46169</v>
      </c>
      <c r="I399">
        <v>0</v>
      </c>
      <c r="J399">
        <v>0.63500000000000001</v>
      </c>
      <c r="K399">
        <v>0</v>
      </c>
      <c r="L399">
        <v>200</v>
      </c>
      <c r="M399">
        <v>47.470238542027801</v>
      </c>
      <c r="N399">
        <v>1.9319999999999999</v>
      </c>
      <c r="O399">
        <f>(Table1[[#This Row],[P]]&lt;&gt;0)*(Table1[[#This Row],[C]]&lt;&gt;0)</f>
        <v>0</v>
      </c>
      <c r="P399">
        <f>NETWORKDAYS(Table1[[#This Row],[ts_event]],Table1[[#This Row],[option_expiry_date]])</f>
        <v>21</v>
      </c>
      <c r="Q399">
        <f>Table1[[#This Row],[Column2]]/252</f>
        <v>8.3333333333333329E-2</v>
      </c>
      <c r="R399" s="2" t="e">
        <f>IF(Table1[[#This Row],[CHECK2]]=0,NA(),
-(1/Table1[[#This Row],[T]])*LN((Table1[[#This Row],[S0]]-Table1[[#This Row],[C]]+Table1[[#This Row],[P]])/Table1[[#This Row],[K]])
)</f>
        <v>#N/A</v>
      </c>
    </row>
    <row r="400" spans="1:18">
      <c r="A400">
        <v>1</v>
      </c>
      <c r="B400" t="s">
        <v>10</v>
      </c>
      <c r="C400" s="1">
        <v>46141</v>
      </c>
      <c r="D400" t="s">
        <v>14</v>
      </c>
      <c r="E400">
        <v>85</v>
      </c>
      <c r="F400" t="s">
        <v>12</v>
      </c>
      <c r="G400" t="s">
        <v>13</v>
      </c>
      <c r="H400" s="1">
        <v>46169</v>
      </c>
      <c r="I400">
        <v>0</v>
      </c>
      <c r="J400">
        <v>0.35499999999999998</v>
      </c>
      <c r="K400">
        <v>0</v>
      </c>
      <c r="L400">
        <v>50</v>
      </c>
      <c r="M400">
        <v>47.470238542027801</v>
      </c>
      <c r="N400">
        <v>1.9319999999999999</v>
      </c>
      <c r="O400">
        <f>(Table1[[#This Row],[P]]&lt;&gt;0)*(Table1[[#This Row],[C]]&lt;&gt;0)</f>
        <v>0</v>
      </c>
      <c r="P400">
        <f>NETWORKDAYS(Table1[[#This Row],[ts_event]],Table1[[#This Row],[option_expiry_date]])</f>
        <v>21</v>
      </c>
      <c r="Q400">
        <f>Table1[[#This Row],[Column2]]/252</f>
        <v>8.3333333333333329E-2</v>
      </c>
      <c r="R400" s="2" t="e">
        <f>IF(Table1[[#This Row],[CHECK2]]=0,NA(),
-(1/Table1[[#This Row],[T]])*LN((Table1[[#This Row],[S0]]-Table1[[#This Row],[C]]+Table1[[#This Row],[P]])/Table1[[#This Row],[K]])
)</f>
        <v>#N/A</v>
      </c>
    </row>
    <row r="401" spans="1:18">
      <c r="A401">
        <v>1</v>
      </c>
      <c r="B401" t="s">
        <v>10</v>
      </c>
      <c r="C401" s="1">
        <v>46141</v>
      </c>
      <c r="D401" t="s">
        <v>15</v>
      </c>
      <c r="E401">
        <v>25</v>
      </c>
      <c r="F401" t="s">
        <v>12</v>
      </c>
      <c r="G401" t="s">
        <v>13</v>
      </c>
      <c r="H401" s="1">
        <v>46199</v>
      </c>
      <c r="I401">
        <v>0.1</v>
      </c>
      <c r="J401">
        <v>0</v>
      </c>
      <c r="K401">
        <v>200</v>
      </c>
      <c r="L401">
        <v>0</v>
      </c>
      <c r="M401">
        <v>47.470022579541499</v>
      </c>
      <c r="N401">
        <v>1.9319999999999999</v>
      </c>
      <c r="O401">
        <f>(Table1[[#This Row],[P]]&lt;&gt;0)*(Table1[[#This Row],[C]]&lt;&gt;0)</f>
        <v>0</v>
      </c>
      <c r="P401">
        <f>NETWORKDAYS(Table1[[#This Row],[ts_event]],Table1[[#This Row],[option_expiry_date]])</f>
        <v>43</v>
      </c>
      <c r="Q401">
        <f>Table1[[#This Row],[Column2]]/252</f>
        <v>0.17063492063492064</v>
      </c>
      <c r="R401" s="2" t="e">
        <f>IF(Table1[[#This Row],[CHECK2]]=0,NA(),
-(1/Table1[[#This Row],[T]])*LN((Table1[[#This Row],[S0]]-Table1[[#This Row],[C]]+Table1[[#This Row],[P]])/Table1[[#This Row],[K]])
)</f>
        <v>#N/A</v>
      </c>
    </row>
    <row r="402" spans="1:18">
      <c r="A402">
        <v>1</v>
      </c>
      <c r="B402" t="s">
        <v>10</v>
      </c>
      <c r="C402" s="1">
        <v>46141</v>
      </c>
      <c r="D402" t="s">
        <v>15</v>
      </c>
      <c r="E402">
        <v>27</v>
      </c>
      <c r="F402" t="s">
        <v>12</v>
      </c>
      <c r="G402" t="s">
        <v>13</v>
      </c>
      <c r="H402" s="1">
        <v>46199</v>
      </c>
      <c r="I402">
        <v>0.19500000000000001</v>
      </c>
      <c r="J402">
        <v>0</v>
      </c>
      <c r="K402">
        <v>1000</v>
      </c>
      <c r="L402">
        <v>0</v>
      </c>
      <c r="M402">
        <v>47.470022579541499</v>
      </c>
      <c r="N402">
        <v>1.9319999999999999</v>
      </c>
      <c r="O402">
        <f>(Table1[[#This Row],[P]]&lt;&gt;0)*(Table1[[#This Row],[C]]&lt;&gt;0)</f>
        <v>0</v>
      </c>
      <c r="P402">
        <f>NETWORKDAYS(Table1[[#This Row],[ts_event]],Table1[[#This Row],[option_expiry_date]])</f>
        <v>43</v>
      </c>
      <c r="Q402">
        <f>Table1[[#This Row],[Column2]]/252</f>
        <v>0.17063492063492064</v>
      </c>
      <c r="R402" s="2" t="e">
        <f>IF(Table1[[#This Row],[CHECK2]]=0,NA(),
-(1/Table1[[#This Row],[T]])*LN((Table1[[#This Row],[S0]]-Table1[[#This Row],[C]]+Table1[[#This Row],[P]])/Table1[[#This Row],[K]])
)</f>
        <v>#N/A</v>
      </c>
    </row>
    <row r="403" spans="1:18">
      <c r="A403">
        <v>2</v>
      </c>
      <c r="B403" t="s">
        <v>10</v>
      </c>
      <c r="C403" s="1">
        <v>46141</v>
      </c>
      <c r="D403" t="s">
        <v>15</v>
      </c>
      <c r="E403">
        <v>30</v>
      </c>
      <c r="F403" t="s">
        <v>12</v>
      </c>
      <c r="G403" t="s">
        <v>13</v>
      </c>
      <c r="H403" s="1">
        <v>46199</v>
      </c>
      <c r="I403">
        <v>0.33357142857142802</v>
      </c>
      <c r="J403">
        <v>0</v>
      </c>
      <c r="K403">
        <v>700</v>
      </c>
      <c r="L403">
        <v>0</v>
      </c>
      <c r="M403">
        <v>47.470022579541499</v>
      </c>
      <c r="N403">
        <v>1.9319999999999999</v>
      </c>
      <c r="O403">
        <f>(Table1[[#This Row],[P]]&lt;&gt;0)*(Table1[[#This Row],[C]]&lt;&gt;0)</f>
        <v>0</v>
      </c>
      <c r="P403">
        <f>NETWORKDAYS(Table1[[#This Row],[ts_event]],Table1[[#This Row],[option_expiry_date]])</f>
        <v>43</v>
      </c>
      <c r="Q403">
        <f>Table1[[#This Row],[Column2]]/252</f>
        <v>0.17063492063492064</v>
      </c>
      <c r="R403" s="2" t="e">
        <f>IF(Table1[[#This Row],[CHECK2]]=0,NA(),
-(1/Table1[[#This Row],[T]])*LN((Table1[[#This Row],[S0]]-Table1[[#This Row],[C]]+Table1[[#This Row],[P]])/Table1[[#This Row],[K]])
)</f>
        <v>#N/A</v>
      </c>
    </row>
    <row r="404" spans="1:18">
      <c r="A404">
        <v>1</v>
      </c>
      <c r="B404" t="s">
        <v>10</v>
      </c>
      <c r="C404" s="1">
        <v>46141</v>
      </c>
      <c r="D404" t="s">
        <v>15</v>
      </c>
      <c r="E404">
        <v>33</v>
      </c>
      <c r="F404" t="s">
        <v>12</v>
      </c>
      <c r="G404" t="s">
        <v>13</v>
      </c>
      <c r="H404" s="1">
        <v>46199</v>
      </c>
      <c r="I404">
        <v>0.65</v>
      </c>
      <c r="J404">
        <v>0</v>
      </c>
      <c r="K404">
        <v>1000</v>
      </c>
      <c r="L404">
        <v>0</v>
      </c>
      <c r="M404">
        <v>47.470022579541499</v>
      </c>
      <c r="N404">
        <v>1.9319999999999999</v>
      </c>
      <c r="O404">
        <f>(Table1[[#This Row],[P]]&lt;&gt;0)*(Table1[[#This Row],[C]]&lt;&gt;0)</f>
        <v>0</v>
      </c>
      <c r="P404">
        <f>NETWORKDAYS(Table1[[#This Row],[ts_event]],Table1[[#This Row],[option_expiry_date]])</f>
        <v>43</v>
      </c>
      <c r="Q404">
        <f>Table1[[#This Row],[Column2]]/252</f>
        <v>0.17063492063492064</v>
      </c>
      <c r="R404" s="2" t="e">
        <f>IF(Table1[[#This Row],[CHECK2]]=0,NA(),
-(1/Table1[[#This Row],[T]])*LN((Table1[[#This Row],[S0]]-Table1[[#This Row],[C]]+Table1[[#This Row],[P]])/Table1[[#This Row],[K]])
)</f>
        <v>#N/A</v>
      </c>
    </row>
    <row r="405" spans="1:18">
      <c r="A405">
        <v>1</v>
      </c>
      <c r="B405" t="s">
        <v>10</v>
      </c>
      <c r="C405" s="1">
        <v>46141</v>
      </c>
      <c r="D405" t="s">
        <v>15</v>
      </c>
      <c r="E405">
        <v>35</v>
      </c>
      <c r="F405" t="s">
        <v>12</v>
      </c>
      <c r="G405" t="s">
        <v>13</v>
      </c>
      <c r="H405" s="1">
        <v>46199</v>
      </c>
      <c r="I405">
        <v>1.1000000000000001</v>
      </c>
      <c r="J405">
        <v>0</v>
      </c>
      <c r="K405">
        <v>2050</v>
      </c>
      <c r="L405">
        <v>0</v>
      </c>
      <c r="M405">
        <v>47.470022579541499</v>
      </c>
      <c r="N405">
        <v>1.9319999999999999</v>
      </c>
      <c r="O405">
        <f>(Table1[[#This Row],[P]]&lt;&gt;0)*(Table1[[#This Row],[C]]&lt;&gt;0)</f>
        <v>0</v>
      </c>
      <c r="P405">
        <f>NETWORKDAYS(Table1[[#This Row],[ts_event]],Table1[[#This Row],[option_expiry_date]])</f>
        <v>43</v>
      </c>
      <c r="Q405">
        <f>Table1[[#This Row],[Column2]]/252</f>
        <v>0.17063492063492064</v>
      </c>
      <c r="R405" s="2" t="e">
        <f>IF(Table1[[#This Row],[CHECK2]]=0,NA(),
-(1/Table1[[#This Row],[T]])*LN((Table1[[#This Row],[S0]]-Table1[[#This Row],[C]]+Table1[[#This Row],[P]])/Table1[[#This Row],[K]])
)</f>
        <v>#N/A</v>
      </c>
    </row>
    <row r="406" spans="1:18">
      <c r="A406">
        <v>1</v>
      </c>
      <c r="B406" t="s">
        <v>10</v>
      </c>
      <c r="C406" s="1">
        <v>46141</v>
      </c>
      <c r="D406" t="s">
        <v>15</v>
      </c>
      <c r="E406">
        <v>36</v>
      </c>
      <c r="F406" t="s">
        <v>12</v>
      </c>
      <c r="G406" t="s">
        <v>13</v>
      </c>
      <c r="H406" s="1">
        <v>46199</v>
      </c>
      <c r="I406">
        <v>1.42</v>
      </c>
      <c r="J406">
        <v>0</v>
      </c>
      <c r="K406">
        <v>150</v>
      </c>
      <c r="L406">
        <v>0</v>
      </c>
      <c r="M406">
        <v>47.470022579541499</v>
      </c>
      <c r="N406">
        <v>1.9319999999999999</v>
      </c>
      <c r="O406">
        <f>(Table1[[#This Row],[P]]&lt;&gt;0)*(Table1[[#This Row],[C]]&lt;&gt;0)</f>
        <v>0</v>
      </c>
      <c r="P406">
        <f>NETWORKDAYS(Table1[[#This Row],[ts_event]],Table1[[#This Row],[option_expiry_date]])</f>
        <v>43</v>
      </c>
      <c r="Q406">
        <f>Table1[[#This Row],[Column2]]/252</f>
        <v>0.17063492063492064</v>
      </c>
      <c r="R406" s="2" t="e">
        <f>IF(Table1[[#This Row],[CHECK2]]=0,NA(),
-(1/Table1[[#This Row],[T]])*LN((Table1[[#This Row],[S0]]-Table1[[#This Row],[C]]+Table1[[#This Row],[P]])/Table1[[#This Row],[K]])
)</f>
        <v>#N/A</v>
      </c>
    </row>
    <row r="407" spans="1:18">
      <c r="A407">
        <v>2</v>
      </c>
      <c r="B407" t="s">
        <v>10</v>
      </c>
      <c r="C407" s="1">
        <v>46141</v>
      </c>
      <c r="D407" t="s">
        <v>15</v>
      </c>
      <c r="E407">
        <v>40</v>
      </c>
      <c r="F407" t="s">
        <v>12</v>
      </c>
      <c r="G407" t="s">
        <v>13</v>
      </c>
      <c r="H407" s="1">
        <v>46199</v>
      </c>
      <c r="I407">
        <v>2.875</v>
      </c>
      <c r="J407">
        <v>9.1999999999999993</v>
      </c>
      <c r="K407">
        <v>1100</v>
      </c>
      <c r="L407">
        <v>250</v>
      </c>
      <c r="M407">
        <v>47.470022579541499</v>
      </c>
      <c r="N407">
        <v>1.9319999999999999</v>
      </c>
      <c r="O407">
        <f>(Table1[[#This Row],[P]]&lt;&gt;0)*(Table1[[#This Row],[C]]&lt;&gt;0)</f>
        <v>1</v>
      </c>
      <c r="P407">
        <f>NETWORKDAYS(Table1[[#This Row],[ts_event]],Table1[[#This Row],[option_expiry_date]])</f>
        <v>43</v>
      </c>
      <c r="Q407">
        <f>Table1[[#This Row],[Column2]]/252</f>
        <v>0.17063492063492064</v>
      </c>
      <c r="R407" s="2">
        <f>IF(Table1[[#This Row],[CHECK2]]=0,NA(),
-(1/Table1[[#This Row],[T]])*LN((Table1[[#This Row],[S0]]-Table1[[#This Row],[C]]+Table1[[#This Row],[P]])/Table1[[#This Row],[K]])
)</f>
        <v>-0.16540288247147664</v>
      </c>
    </row>
    <row r="408" spans="1:18">
      <c r="A408">
        <v>2</v>
      </c>
      <c r="B408" t="s">
        <v>10</v>
      </c>
      <c r="C408" s="1">
        <v>46141</v>
      </c>
      <c r="D408" t="s">
        <v>15</v>
      </c>
      <c r="E408">
        <v>45</v>
      </c>
      <c r="F408" t="s">
        <v>12</v>
      </c>
      <c r="G408" t="s">
        <v>13</v>
      </c>
      <c r="H408" s="1">
        <v>46199</v>
      </c>
      <c r="I408">
        <v>5.8</v>
      </c>
      <c r="J408">
        <v>5.8</v>
      </c>
      <c r="K408">
        <v>300</v>
      </c>
      <c r="L408">
        <v>875</v>
      </c>
      <c r="M408">
        <v>47.470022579541499</v>
      </c>
      <c r="N408">
        <v>1.9319999999999999</v>
      </c>
      <c r="O408">
        <f>(Table1[[#This Row],[P]]&lt;&gt;0)*(Table1[[#This Row],[C]]&lt;&gt;0)</f>
        <v>1</v>
      </c>
      <c r="P408">
        <f>NETWORKDAYS(Table1[[#This Row],[ts_event]],Table1[[#This Row],[option_expiry_date]])</f>
        <v>43</v>
      </c>
      <c r="Q408">
        <f>Table1[[#This Row],[Column2]]/252</f>
        <v>0.17063492063492064</v>
      </c>
      <c r="R408" s="2">
        <f>IF(Table1[[#This Row],[CHECK2]]=0,NA(),
-(1/Table1[[#This Row],[T]])*LN((Table1[[#This Row],[S0]]-Table1[[#This Row],[C]]+Table1[[#This Row],[P]])/Table1[[#This Row],[K]])
)</f>
        <v>-0.31315933604415341</v>
      </c>
    </row>
    <row r="409" spans="1:18">
      <c r="A409">
        <v>1</v>
      </c>
      <c r="B409" t="s">
        <v>10</v>
      </c>
      <c r="C409" s="1">
        <v>46141</v>
      </c>
      <c r="D409" t="s">
        <v>15</v>
      </c>
      <c r="E409">
        <v>47</v>
      </c>
      <c r="F409" t="s">
        <v>12</v>
      </c>
      <c r="G409" t="s">
        <v>13</v>
      </c>
      <c r="H409" s="1">
        <v>46199</v>
      </c>
      <c r="I409">
        <v>0</v>
      </c>
      <c r="J409">
        <v>5.35</v>
      </c>
      <c r="K409">
        <v>0</v>
      </c>
      <c r="L409">
        <v>450</v>
      </c>
      <c r="M409">
        <v>47.470022579541499</v>
      </c>
      <c r="N409">
        <v>1.9319999999999999</v>
      </c>
      <c r="O409">
        <f>(Table1[[#This Row],[P]]&lt;&gt;0)*(Table1[[#This Row],[C]]&lt;&gt;0)</f>
        <v>0</v>
      </c>
      <c r="P409">
        <f>NETWORKDAYS(Table1[[#This Row],[ts_event]],Table1[[#This Row],[option_expiry_date]])</f>
        <v>43</v>
      </c>
      <c r="Q409">
        <f>Table1[[#This Row],[Column2]]/252</f>
        <v>0.17063492063492064</v>
      </c>
      <c r="R409" s="2" t="e">
        <f>IF(Table1[[#This Row],[CHECK2]]=0,NA(),
-(1/Table1[[#This Row],[T]])*LN((Table1[[#This Row],[S0]]-Table1[[#This Row],[C]]+Table1[[#This Row],[P]])/Table1[[#This Row],[K]])
)</f>
        <v>#N/A</v>
      </c>
    </row>
    <row r="410" spans="1:18">
      <c r="A410">
        <v>1</v>
      </c>
      <c r="B410" t="s">
        <v>10</v>
      </c>
      <c r="C410" s="1">
        <v>46141</v>
      </c>
      <c r="D410" t="s">
        <v>15</v>
      </c>
      <c r="E410">
        <v>48</v>
      </c>
      <c r="F410" t="s">
        <v>12</v>
      </c>
      <c r="G410" t="s">
        <v>13</v>
      </c>
      <c r="H410" s="1">
        <v>46199</v>
      </c>
      <c r="I410">
        <v>0</v>
      </c>
      <c r="J410">
        <v>5.91</v>
      </c>
      <c r="K410">
        <v>0</v>
      </c>
      <c r="L410">
        <v>350</v>
      </c>
      <c r="M410">
        <v>47.470022579541499</v>
      </c>
      <c r="N410">
        <v>1.9319999999999999</v>
      </c>
      <c r="O410">
        <f>(Table1[[#This Row],[P]]&lt;&gt;0)*(Table1[[#This Row],[C]]&lt;&gt;0)</f>
        <v>0</v>
      </c>
      <c r="P410">
        <f>NETWORKDAYS(Table1[[#This Row],[ts_event]],Table1[[#This Row],[option_expiry_date]])</f>
        <v>43</v>
      </c>
      <c r="Q410">
        <f>Table1[[#This Row],[Column2]]/252</f>
        <v>0.17063492063492064</v>
      </c>
      <c r="R410" s="2" t="e">
        <f>IF(Table1[[#This Row],[CHECK2]]=0,NA(),
-(1/Table1[[#This Row],[T]])*LN((Table1[[#This Row],[S0]]-Table1[[#This Row],[C]]+Table1[[#This Row],[P]])/Table1[[#This Row],[K]])
)</f>
        <v>#N/A</v>
      </c>
    </row>
    <row r="411" spans="1:18">
      <c r="A411">
        <v>1</v>
      </c>
      <c r="B411" t="s">
        <v>10</v>
      </c>
      <c r="C411" s="1">
        <v>46141</v>
      </c>
      <c r="D411" t="s">
        <v>15</v>
      </c>
      <c r="E411">
        <v>50</v>
      </c>
      <c r="F411" t="s">
        <v>12</v>
      </c>
      <c r="G411" t="s">
        <v>13</v>
      </c>
      <c r="H411" s="1">
        <v>46199</v>
      </c>
      <c r="I411">
        <v>0</v>
      </c>
      <c r="J411">
        <v>5.43</v>
      </c>
      <c r="K411">
        <v>0</v>
      </c>
      <c r="L411">
        <v>2450</v>
      </c>
      <c r="M411">
        <v>47.470022579541499</v>
      </c>
      <c r="N411">
        <v>1.9319999999999999</v>
      </c>
      <c r="O411">
        <f>(Table1[[#This Row],[P]]&lt;&gt;0)*(Table1[[#This Row],[C]]&lt;&gt;0)</f>
        <v>0</v>
      </c>
      <c r="P411">
        <f>NETWORKDAYS(Table1[[#This Row],[ts_event]],Table1[[#This Row],[option_expiry_date]])</f>
        <v>43</v>
      </c>
      <c r="Q411">
        <f>Table1[[#This Row],[Column2]]/252</f>
        <v>0.17063492063492064</v>
      </c>
      <c r="R411" s="2" t="e">
        <f>IF(Table1[[#This Row],[CHECK2]]=0,NA(),
-(1/Table1[[#This Row],[T]])*LN((Table1[[#This Row],[S0]]-Table1[[#This Row],[C]]+Table1[[#This Row],[P]])/Table1[[#This Row],[K]])
)</f>
        <v>#N/A</v>
      </c>
    </row>
    <row r="412" spans="1:18">
      <c r="A412">
        <v>1</v>
      </c>
      <c r="B412" t="s">
        <v>10</v>
      </c>
      <c r="C412" s="1">
        <v>46141</v>
      </c>
      <c r="D412" t="s">
        <v>15</v>
      </c>
      <c r="E412">
        <v>60</v>
      </c>
      <c r="F412" t="s">
        <v>12</v>
      </c>
      <c r="G412" t="s">
        <v>13</v>
      </c>
      <c r="H412" s="1">
        <v>46199</v>
      </c>
      <c r="I412">
        <v>0</v>
      </c>
      <c r="J412">
        <v>3.51</v>
      </c>
      <c r="K412">
        <v>0</v>
      </c>
      <c r="L412">
        <v>1175</v>
      </c>
      <c r="M412">
        <v>47.470022579541499</v>
      </c>
      <c r="N412">
        <v>1.9319999999999999</v>
      </c>
      <c r="O412">
        <f>(Table1[[#This Row],[P]]&lt;&gt;0)*(Table1[[#This Row],[C]]&lt;&gt;0)</f>
        <v>0</v>
      </c>
      <c r="P412">
        <f>NETWORKDAYS(Table1[[#This Row],[ts_event]],Table1[[#This Row],[option_expiry_date]])</f>
        <v>43</v>
      </c>
      <c r="Q412">
        <f>Table1[[#This Row],[Column2]]/252</f>
        <v>0.17063492063492064</v>
      </c>
      <c r="R412" s="2" t="e">
        <f>IF(Table1[[#This Row],[CHECK2]]=0,NA(),
-(1/Table1[[#This Row],[T]])*LN((Table1[[#This Row],[S0]]-Table1[[#This Row],[C]]+Table1[[#This Row],[P]])/Table1[[#This Row],[K]])
)</f>
        <v>#N/A</v>
      </c>
    </row>
    <row r="413" spans="1:18">
      <c r="A413">
        <v>1</v>
      </c>
      <c r="B413" t="s">
        <v>10</v>
      </c>
      <c r="C413" s="1">
        <v>46141</v>
      </c>
      <c r="D413" t="s">
        <v>15</v>
      </c>
      <c r="E413">
        <v>63</v>
      </c>
      <c r="F413" t="s">
        <v>12</v>
      </c>
      <c r="G413" t="s">
        <v>13</v>
      </c>
      <c r="H413" s="1">
        <v>46199</v>
      </c>
      <c r="I413">
        <v>0</v>
      </c>
      <c r="J413">
        <v>2.75</v>
      </c>
      <c r="K413">
        <v>0</v>
      </c>
      <c r="L413">
        <v>10</v>
      </c>
      <c r="M413">
        <v>47.470022579541499</v>
      </c>
      <c r="N413">
        <v>1.9319999999999999</v>
      </c>
      <c r="O413">
        <f>(Table1[[#This Row],[P]]&lt;&gt;0)*(Table1[[#This Row],[C]]&lt;&gt;0)</f>
        <v>0</v>
      </c>
      <c r="P413">
        <f>NETWORKDAYS(Table1[[#This Row],[ts_event]],Table1[[#This Row],[option_expiry_date]])</f>
        <v>43</v>
      </c>
      <c r="Q413">
        <f>Table1[[#This Row],[Column2]]/252</f>
        <v>0.17063492063492064</v>
      </c>
      <c r="R413" s="2" t="e">
        <f>IF(Table1[[#This Row],[CHECK2]]=0,NA(),
-(1/Table1[[#This Row],[T]])*LN((Table1[[#This Row],[S0]]-Table1[[#This Row],[C]]+Table1[[#This Row],[P]])/Table1[[#This Row],[K]])
)</f>
        <v>#N/A</v>
      </c>
    </row>
    <row r="414" spans="1:18">
      <c r="A414">
        <v>1</v>
      </c>
      <c r="B414" t="s">
        <v>10</v>
      </c>
      <c r="C414" s="1">
        <v>46141</v>
      </c>
      <c r="D414" t="s">
        <v>15</v>
      </c>
      <c r="E414">
        <v>65</v>
      </c>
      <c r="F414" t="s">
        <v>12</v>
      </c>
      <c r="G414" t="s">
        <v>13</v>
      </c>
      <c r="H414" s="1">
        <v>46199</v>
      </c>
      <c r="I414">
        <v>0</v>
      </c>
      <c r="J414">
        <v>2.1</v>
      </c>
      <c r="K414">
        <v>0</v>
      </c>
      <c r="L414">
        <v>2515</v>
      </c>
      <c r="M414">
        <v>47.470022579541499</v>
      </c>
      <c r="N414">
        <v>1.9319999999999999</v>
      </c>
      <c r="O414">
        <f>(Table1[[#This Row],[P]]&lt;&gt;0)*(Table1[[#This Row],[C]]&lt;&gt;0)</f>
        <v>0</v>
      </c>
      <c r="P414">
        <f>NETWORKDAYS(Table1[[#This Row],[ts_event]],Table1[[#This Row],[option_expiry_date]])</f>
        <v>43</v>
      </c>
      <c r="Q414">
        <f>Table1[[#This Row],[Column2]]/252</f>
        <v>0.17063492063492064</v>
      </c>
      <c r="R414" s="2" t="e">
        <f>IF(Table1[[#This Row],[CHECK2]]=0,NA(),
-(1/Table1[[#This Row],[T]])*LN((Table1[[#This Row],[S0]]-Table1[[#This Row],[C]]+Table1[[#This Row],[P]])/Table1[[#This Row],[K]])
)</f>
        <v>#N/A</v>
      </c>
    </row>
    <row r="415" spans="1:18">
      <c r="A415">
        <v>1</v>
      </c>
      <c r="B415" t="s">
        <v>10</v>
      </c>
      <c r="C415" s="1">
        <v>46141</v>
      </c>
      <c r="D415" t="s">
        <v>16</v>
      </c>
      <c r="E415">
        <v>33</v>
      </c>
      <c r="F415" t="s">
        <v>12</v>
      </c>
      <c r="G415" t="s">
        <v>13</v>
      </c>
      <c r="H415" s="1">
        <v>46230</v>
      </c>
      <c r="I415">
        <v>0.99</v>
      </c>
      <c r="J415">
        <v>0</v>
      </c>
      <c r="K415">
        <v>10</v>
      </c>
      <c r="L415">
        <v>0</v>
      </c>
      <c r="M415">
        <v>47.6213748644414</v>
      </c>
      <c r="N415">
        <v>1.9319999999999999</v>
      </c>
      <c r="O415">
        <f>(Table1[[#This Row],[P]]&lt;&gt;0)*(Table1[[#This Row],[C]]&lt;&gt;0)</f>
        <v>0</v>
      </c>
      <c r="P415">
        <f>NETWORKDAYS(Table1[[#This Row],[ts_event]],Table1[[#This Row],[option_expiry_date]])</f>
        <v>64</v>
      </c>
      <c r="Q415">
        <f>Table1[[#This Row],[Column2]]/252</f>
        <v>0.25396825396825395</v>
      </c>
      <c r="R415" s="2" t="e">
        <f>IF(Table1[[#This Row],[CHECK2]]=0,NA(),
-(1/Table1[[#This Row],[T]])*LN((Table1[[#This Row],[S0]]-Table1[[#This Row],[C]]+Table1[[#This Row],[P]])/Table1[[#This Row],[K]])
)</f>
        <v>#N/A</v>
      </c>
    </row>
    <row r="416" spans="1:18">
      <c r="A416">
        <v>1</v>
      </c>
      <c r="B416" t="s">
        <v>10</v>
      </c>
      <c r="C416" s="1">
        <v>46141</v>
      </c>
      <c r="D416" t="s">
        <v>16</v>
      </c>
      <c r="E416">
        <v>35</v>
      </c>
      <c r="F416" t="s">
        <v>12</v>
      </c>
      <c r="G416" t="s">
        <v>13</v>
      </c>
      <c r="H416" s="1">
        <v>46230</v>
      </c>
      <c r="I416">
        <v>1.8</v>
      </c>
      <c r="J416">
        <v>0</v>
      </c>
      <c r="K416">
        <v>1100</v>
      </c>
      <c r="L416">
        <v>0</v>
      </c>
      <c r="M416">
        <v>47.6213748644414</v>
      </c>
      <c r="N416">
        <v>1.9319999999999999</v>
      </c>
      <c r="O416">
        <f>(Table1[[#This Row],[P]]&lt;&gt;0)*(Table1[[#This Row],[C]]&lt;&gt;0)</f>
        <v>0</v>
      </c>
      <c r="P416">
        <f>NETWORKDAYS(Table1[[#This Row],[ts_event]],Table1[[#This Row],[option_expiry_date]])</f>
        <v>64</v>
      </c>
      <c r="Q416">
        <f>Table1[[#This Row],[Column2]]/252</f>
        <v>0.25396825396825395</v>
      </c>
      <c r="R416" s="2" t="e">
        <f>IF(Table1[[#This Row],[CHECK2]]=0,NA(),
-(1/Table1[[#This Row],[T]])*LN((Table1[[#This Row],[S0]]-Table1[[#This Row],[C]]+Table1[[#This Row],[P]])/Table1[[#This Row],[K]])
)</f>
        <v>#N/A</v>
      </c>
    </row>
    <row r="417" spans="1:18">
      <c r="A417">
        <v>1</v>
      </c>
      <c r="B417" t="s">
        <v>10</v>
      </c>
      <c r="C417" s="1">
        <v>46141</v>
      </c>
      <c r="D417" t="s">
        <v>16</v>
      </c>
      <c r="E417">
        <v>50</v>
      </c>
      <c r="F417" t="s">
        <v>12</v>
      </c>
      <c r="G417" t="s">
        <v>13</v>
      </c>
      <c r="H417" s="1">
        <v>46230</v>
      </c>
      <c r="I417">
        <v>0</v>
      </c>
      <c r="J417">
        <v>6.4</v>
      </c>
      <c r="K417">
        <v>0</v>
      </c>
      <c r="L417">
        <v>50</v>
      </c>
      <c r="M417">
        <v>47.6213748644414</v>
      </c>
      <c r="N417">
        <v>1.9319999999999999</v>
      </c>
      <c r="O417">
        <f>(Table1[[#This Row],[P]]&lt;&gt;0)*(Table1[[#This Row],[C]]&lt;&gt;0)</f>
        <v>0</v>
      </c>
      <c r="P417">
        <f>NETWORKDAYS(Table1[[#This Row],[ts_event]],Table1[[#This Row],[option_expiry_date]])</f>
        <v>64</v>
      </c>
      <c r="Q417">
        <f>Table1[[#This Row],[Column2]]/252</f>
        <v>0.25396825396825395</v>
      </c>
      <c r="R417" s="2" t="e">
        <f>IF(Table1[[#This Row],[CHECK2]]=0,NA(),
-(1/Table1[[#This Row],[T]])*LN((Table1[[#This Row],[S0]]-Table1[[#This Row],[C]]+Table1[[#This Row],[P]])/Table1[[#This Row],[K]])
)</f>
        <v>#N/A</v>
      </c>
    </row>
    <row r="418" spans="1:18">
      <c r="A418">
        <v>1</v>
      </c>
      <c r="B418" t="s">
        <v>10</v>
      </c>
      <c r="C418" s="1">
        <v>46141</v>
      </c>
      <c r="D418" t="s">
        <v>16</v>
      </c>
      <c r="E418">
        <v>55</v>
      </c>
      <c r="F418" t="s">
        <v>12</v>
      </c>
      <c r="G418" t="s">
        <v>13</v>
      </c>
      <c r="H418" s="1">
        <v>46230</v>
      </c>
      <c r="I418">
        <v>0</v>
      </c>
      <c r="J418">
        <v>5.76</v>
      </c>
      <c r="K418">
        <v>0</v>
      </c>
      <c r="L418">
        <v>20</v>
      </c>
      <c r="M418">
        <v>47.6213748644414</v>
      </c>
      <c r="N418">
        <v>1.9319999999999999</v>
      </c>
      <c r="O418">
        <f>(Table1[[#This Row],[P]]&lt;&gt;0)*(Table1[[#This Row],[C]]&lt;&gt;0)</f>
        <v>0</v>
      </c>
      <c r="P418">
        <f>NETWORKDAYS(Table1[[#This Row],[ts_event]],Table1[[#This Row],[option_expiry_date]])</f>
        <v>64</v>
      </c>
      <c r="Q418">
        <f>Table1[[#This Row],[Column2]]/252</f>
        <v>0.25396825396825395</v>
      </c>
      <c r="R418" s="2" t="e">
        <f>IF(Table1[[#This Row],[CHECK2]]=0,NA(),
-(1/Table1[[#This Row],[T]])*LN((Table1[[#This Row],[S0]]-Table1[[#This Row],[C]]+Table1[[#This Row],[P]])/Table1[[#This Row],[K]])
)</f>
        <v>#N/A</v>
      </c>
    </row>
    <row r="419" spans="1:18">
      <c r="A419">
        <v>1</v>
      </c>
      <c r="B419" t="s">
        <v>10</v>
      </c>
      <c r="C419" s="1">
        <v>46141</v>
      </c>
      <c r="D419" t="s">
        <v>16</v>
      </c>
      <c r="E419">
        <v>60</v>
      </c>
      <c r="F419" t="s">
        <v>12</v>
      </c>
      <c r="G419" t="s">
        <v>13</v>
      </c>
      <c r="H419" s="1">
        <v>46230</v>
      </c>
      <c r="I419">
        <v>0</v>
      </c>
      <c r="J419">
        <v>3.35</v>
      </c>
      <c r="K419">
        <v>0</v>
      </c>
      <c r="L419">
        <v>600</v>
      </c>
      <c r="M419">
        <v>47.6213748644414</v>
      </c>
      <c r="N419">
        <v>1.9319999999999999</v>
      </c>
      <c r="O419">
        <f>(Table1[[#This Row],[P]]&lt;&gt;0)*(Table1[[#This Row],[C]]&lt;&gt;0)</f>
        <v>0</v>
      </c>
      <c r="P419">
        <f>NETWORKDAYS(Table1[[#This Row],[ts_event]],Table1[[#This Row],[option_expiry_date]])</f>
        <v>64</v>
      </c>
      <c r="Q419">
        <f>Table1[[#This Row],[Column2]]/252</f>
        <v>0.25396825396825395</v>
      </c>
      <c r="R419" s="2" t="e">
        <f>IF(Table1[[#This Row],[CHECK2]]=0,NA(),
-(1/Table1[[#This Row],[T]])*LN((Table1[[#This Row],[S0]]-Table1[[#This Row],[C]]+Table1[[#This Row],[P]])/Table1[[#This Row],[K]])
)</f>
        <v>#N/A</v>
      </c>
    </row>
    <row r="420" spans="1:18">
      <c r="A420">
        <v>1</v>
      </c>
      <c r="B420" t="s">
        <v>10</v>
      </c>
      <c r="C420" s="1">
        <v>46141</v>
      </c>
      <c r="D420" t="s">
        <v>16</v>
      </c>
      <c r="E420">
        <v>90</v>
      </c>
      <c r="F420" t="s">
        <v>12</v>
      </c>
      <c r="G420" t="s">
        <v>13</v>
      </c>
      <c r="H420" s="1">
        <v>46230</v>
      </c>
      <c r="I420">
        <v>0</v>
      </c>
      <c r="J420">
        <v>1.21</v>
      </c>
      <c r="K420">
        <v>0</v>
      </c>
      <c r="L420">
        <v>275</v>
      </c>
      <c r="M420">
        <v>47.6213748644414</v>
      </c>
      <c r="N420">
        <v>1.9319999999999999</v>
      </c>
      <c r="O420">
        <f>(Table1[[#This Row],[P]]&lt;&gt;0)*(Table1[[#This Row],[C]]&lt;&gt;0)</f>
        <v>0</v>
      </c>
      <c r="P420">
        <f>NETWORKDAYS(Table1[[#This Row],[ts_event]],Table1[[#This Row],[option_expiry_date]])</f>
        <v>64</v>
      </c>
      <c r="Q420">
        <f>Table1[[#This Row],[Column2]]/252</f>
        <v>0.25396825396825395</v>
      </c>
      <c r="R420" s="2" t="e">
        <f>IF(Table1[[#This Row],[CHECK2]]=0,NA(),
-(1/Table1[[#This Row],[T]])*LN((Table1[[#This Row],[S0]]-Table1[[#This Row],[C]]+Table1[[#This Row],[P]])/Table1[[#This Row],[K]])
)</f>
        <v>#N/A</v>
      </c>
    </row>
    <row r="421" spans="1:18">
      <c r="A421">
        <v>1</v>
      </c>
      <c r="B421" t="s">
        <v>10</v>
      </c>
      <c r="C421" s="1">
        <v>46141</v>
      </c>
      <c r="D421" t="s">
        <v>17</v>
      </c>
      <c r="E421">
        <v>45</v>
      </c>
      <c r="F421" t="s">
        <v>12</v>
      </c>
      <c r="G421" t="s">
        <v>13</v>
      </c>
      <c r="H421" s="1">
        <v>46260</v>
      </c>
      <c r="I421">
        <v>0</v>
      </c>
      <c r="J421">
        <v>7.52</v>
      </c>
      <c r="K421">
        <v>0</v>
      </c>
      <c r="L421">
        <v>625</v>
      </c>
      <c r="M421">
        <v>47.673645598194099</v>
      </c>
      <c r="N421">
        <v>1.9319999999999999</v>
      </c>
      <c r="O421">
        <f>(Table1[[#This Row],[P]]&lt;&gt;0)*(Table1[[#This Row],[C]]&lt;&gt;0)</f>
        <v>0</v>
      </c>
      <c r="P421">
        <f>NETWORKDAYS(Table1[[#This Row],[ts_event]],Table1[[#This Row],[option_expiry_date]])</f>
        <v>86</v>
      </c>
      <c r="Q421">
        <f>Table1[[#This Row],[Column2]]/252</f>
        <v>0.34126984126984128</v>
      </c>
      <c r="R421" s="2" t="e">
        <f>IF(Table1[[#This Row],[CHECK2]]=0,NA(),
-(1/Table1[[#This Row],[T]])*LN((Table1[[#This Row],[S0]]-Table1[[#This Row],[C]]+Table1[[#This Row],[P]])/Table1[[#This Row],[K]])
)</f>
        <v>#N/A</v>
      </c>
    </row>
    <row r="422" spans="1:18">
      <c r="A422">
        <v>1</v>
      </c>
      <c r="B422" t="s">
        <v>10</v>
      </c>
      <c r="C422" s="1">
        <v>46141</v>
      </c>
      <c r="D422" t="s">
        <v>17</v>
      </c>
      <c r="E422">
        <v>60</v>
      </c>
      <c r="F422" t="s">
        <v>12</v>
      </c>
      <c r="G422" t="s">
        <v>13</v>
      </c>
      <c r="H422" s="1">
        <v>46260</v>
      </c>
      <c r="I422">
        <v>0</v>
      </c>
      <c r="J422">
        <v>3.9550000000000001</v>
      </c>
      <c r="K422">
        <v>0</v>
      </c>
      <c r="L422">
        <v>525</v>
      </c>
      <c r="M422">
        <v>47.673645598194099</v>
      </c>
      <c r="N422">
        <v>1.9319999999999999</v>
      </c>
      <c r="O422">
        <f>(Table1[[#This Row],[P]]&lt;&gt;0)*(Table1[[#This Row],[C]]&lt;&gt;0)</f>
        <v>0</v>
      </c>
      <c r="P422">
        <f>NETWORKDAYS(Table1[[#This Row],[ts_event]],Table1[[#This Row],[option_expiry_date]])</f>
        <v>86</v>
      </c>
      <c r="Q422">
        <f>Table1[[#This Row],[Column2]]/252</f>
        <v>0.34126984126984128</v>
      </c>
      <c r="R422" s="2" t="e">
        <f>IF(Table1[[#This Row],[CHECK2]]=0,NA(),
-(1/Table1[[#This Row],[T]])*LN((Table1[[#This Row],[S0]]-Table1[[#This Row],[C]]+Table1[[#This Row],[P]])/Table1[[#This Row],[K]])
)</f>
        <v>#N/A</v>
      </c>
    </row>
    <row r="423" spans="1:18">
      <c r="A423">
        <v>1</v>
      </c>
      <c r="B423" t="s">
        <v>10</v>
      </c>
      <c r="C423" s="1">
        <v>46141</v>
      </c>
      <c r="D423" t="s">
        <v>17</v>
      </c>
      <c r="E423">
        <v>70</v>
      </c>
      <c r="F423" t="s">
        <v>12</v>
      </c>
      <c r="G423" t="s">
        <v>13</v>
      </c>
      <c r="H423" s="1">
        <v>46260</v>
      </c>
      <c r="I423">
        <v>0</v>
      </c>
      <c r="J423">
        <v>3.05</v>
      </c>
      <c r="K423">
        <v>0</v>
      </c>
      <c r="L423">
        <v>625</v>
      </c>
      <c r="M423">
        <v>47.673645598194099</v>
      </c>
      <c r="N423">
        <v>1.9319999999999999</v>
      </c>
      <c r="O423">
        <f>(Table1[[#This Row],[P]]&lt;&gt;0)*(Table1[[#This Row],[C]]&lt;&gt;0)</f>
        <v>0</v>
      </c>
      <c r="P423">
        <f>NETWORKDAYS(Table1[[#This Row],[ts_event]],Table1[[#This Row],[option_expiry_date]])</f>
        <v>86</v>
      </c>
      <c r="Q423">
        <f>Table1[[#This Row],[Column2]]/252</f>
        <v>0.34126984126984128</v>
      </c>
      <c r="R423" s="2" t="e">
        <f>IF(Table1[[#This Row],[CHECK2]]=0,NA(),
-(1/Table1[[#This Row],[T]])*LN((Table1[[#This Row],[S0]]-Table1[[#This Row],[C]]+Table1[[#This Row],[P]])/Table1[[#This Row],[K]])
)</f>
        <v>#N/A</v>
      </c>
    </row>
    <row r="424" spans="1:18">
      <c r="A424">
        <v>1</v>
      </c>
      <c r="B424" t="s">
        <v>10</v>
      </c>
      <c r="C424" s="1">
        <v>46141</v>
      </c>
      <c r="D424" t="s">
        <v>17</v>
      </c>
      <c r="E424">
        <v>75</v>
      </c>
      <c r="F424" t="s">
        <v>12</v>
      </c>
      <c r="G424" t="s">
        <v>13</v>
      </c>
      <c r="H424" s="1">
        <v>46260</v>
      </c>
      <c r="I424">
        <v>0</v>
      </c>
      <c r="J424">
        <v>2.5350000000000001</v>
      </c>
      <c r="K424">
        <v>0</v>
      </c>
      <c r="L424">
        <v>45</v>
      </c>
      <c r="M424">
        <v>47.673645598194099</v>
      </c>
      <c r="N424">
        <v>1.9319999999999999</v>
      </c>
      <c r="O424">
        <f>(Table1[[#This Row],[P]]&lt;&gt;0)*(Table1[[#This Row],[C]]&lt;&gt;0)</f>
        <v>0</v>
      </c>
      <c r="P424">
        <f>NETWORKDAYS(Table1[[#This Row],[ts_event]],Table1[[#This Row],[option_expiry_date]])</f>
        <v>86</v>
      </c>
      <c r="Q424">
        <f>Table1[[#This Row],[Column2]]/252</f>
        <v>0.34126984126984128</v>
      </c>
      <c r="R424" s="2" t="e">
        <f>IF(Table1[[#This Row],[CHECK2]]=0,NA(),
-(1/Table1[[#This Row],[T]])*LN((Table1[[#This Row],[S0]]-Table1[[#This Row],[C]]+Table1[[#This Row],[P]])/Table1[[#This Row],[K]])
)</f>
        <v>#N/A</v>
      </c>
    </row>
    <row r="425" spans="1:18">
      <c r="A425">
        <v>1</v>
      </c>
      <c r="B425" t="s">
        <v>10</v>
      </c>
      <c r="C425" s="1">
        <v>46141</v>
      </c>
      <c r="D425" t="s">
        <v>17</v>
      </c>
      <c r="E425">
        <v>85</v>
      </c>
      <c r="F425" t="s">
        <v>12</v>
      </c>
      <c r="G425" t="s">
        <v>13</v>
      </c>
      <c r="H425" s="1">
        <v>46260</v>
      </c>
      <c r="I425">
        <v>0</v>
      </c>
      <c r="J425">
        <v>2.0499999999999998</v>
      </c>
      <c r="K425">
        <v>0</v>
      </c>
      <c r="L425">
        <v>800</v>
      </c>
      <c r="M425">
        <v>47.673645598194099</v>
      </c>
      <c r="N425">
        <v>1.9319999999999999</v>
      </c>
      <c r="O425">
        <f>(Table1[[#This Row],[P]]&lt;&gt;0)*(Table1[[#This Row],[C]]&lt;&gt;0)</f>
        <v>0</v>
      </c>
      <c r="P425">
        <f>NETWORKDAYS(Table1[[#This Row],[ts_event]],Table1[[#This Row],[option_expiry_date]])</f>
        <v>86</v>
      </c>
      <c r="Q425">
        <f>Table1[[#This Row],[Column2]]/252</f>
        <v>0.34126984126984128</v>
      </c>
      <c r="R425" s="2" t="e">
        <f>IF(Table1[[#This Row],[CHECK2]]=0,NA(),
-(1/Table1[[#This Row],[T]])*LN((Table1[[#This Row],[S0]]-Table1[[#This Row],[C]]+Table1[[#This Row],[P]])/Table1[[#This Row],[K]])
)</f>
        <v>#N/A</v>
      </c>
    </row>
    <row r="426" spans="1:18">
      <c r="A426">
        <v>1</v>
      </c>
      <c r="B426" t="s">
        <v>10</v>
      </c>
      <c r="C426" s="1">
        <v>46141</v>
      </c>
      <c r="D426" t="s">
        <v>17</v>
      </c>
      <c r="E426">
        <v>100</v>
      </c>
      <c r="F426" t="s">
        <v>12</v>
      </c>
      <c r="G426" t="s">
        <v>13</v>
      </c>
      <c r="H426" s="1">
        <v>46260</v>
      </c>
      <c r="I426">
        <v>0</v>
      </c>
      <c r="J426">
        <v>1.55</v>
      </c>
      <c r="K426">
        <v>0</v>
      </c>
      <c r="L426">
        <v>450</v>
      </c>
      <c r="M426">
        <v>47.673645598194099</v>
      </c>
      <c r="N426">
        <v>1.9319999999999999</v>
      </c>
      <c r="O426">
        <f>(Table1[[#This Row],[P]]&lt;&gt;0)*(Table1[[#This Row],[C]]&lt;&gt;0)</f>
        <v>0</v>
      </c>
      <c r="P426">
        <f>NETWORKDAYS(Table1[[#This Row],[ts_event]],Table1[[#This Row],[option_expiry_date]])</f>
        <v>86</v>
      </c>
      <c r="Q426">
        <f>Table1[[#This Row],[Column2]]/252</f>
        <v>0.34126984126984128</v>
      </c>
      <c r="R426" s="2" t="e">
        <f>IF(Table1[[#This Row],[CHECK2]]=0,NA(),
-(1/Table1[[#This Row],[T]])*LN((Table1[[#This Row],[S0]]-Table1[[#This Row],[C]]+Table1[[#This Row],[P]])/Table1[[#This Row],[K]])
)</f>
        <v>#N/A</v>
      </c>
    </row>
    <row r="427" spans="1:18">
      <c r="A427">
        <v>1</v>
      </c>
      <c r="B427" t="s">
        <v>10</v>
      </c>
      <c r="C427" s="1">
        <v>46141</v>
      </c>
      <c r="D427" t="s">
        <v>18</v>
      </c>
      <c r="E427">
        <v>50</v>
      </c>
      <c r="F427" t="s">
        <v>12</v>
      </c>
      <c r="G427" t="s">
        <v>13</v>
      </c>
      <c r="H427" s="1">
        <v>46290</v>
      </c>
      <c r="I427">
        <v>0</v>
      </c>
      <c r="J427">
        <v>6.4649999999999999</v>
      </c>
      <c r="K427">
        <v>0</v>
      </c>
      <c r="L427">
        <v>975</v>
      </c>
      <c r="M427">
        <v>47.602908699808701</v>
      </c>
      <c r="N427">
        <v>1.9319999999999999</v>
      </c>
      <c r="O427">
        <f>(Table1[[#This Row],[P]]&lt;&gt;0)*(Table1[[#This Row],[C]]&lt;&gt;0)</f>
        <v>0</v>
      </c>
      <c r="P427">
        <f>NETWORKDAYS(Table1[[#This Row],[ts_event]],Table1[[#This Row],[option_expiry_date]])</f>
        <v>108</v>
      </c>
      <c r="Q427">
        <f>Table1[[#This Row],[Column2]]/252</f>
        <v>0.42857142857142855</v>
      </c>
      <c r="R427" s="2" t="e">
        <f>IF(Table1[[#This Row],[CHECK2]]=0,NA(),
-(1/Table1[[#This Row],[T]])*LN((Table1[[#This Row],[S0]]-Table1[[#This Row],[C]]+Table1[[#This Row],[P]])/Table1[[#This Row],[K]])
)</f>
        <v>#N/A</v>
      </c>
    </row>
    <row r="428" spans="1:18">
      <c r="A428">
        <v>1</v>
      </c>
      <c r="B428" t="s">
        <v>10</v>
      </c>
      <c r="C428" s="1">
        <v>46141</v>
      </c>
      <c r="D428" t="s">
        <v>18</v>
      </c>
      <c r="E428">
        <v>60</v>
      </c>
      <c r="F428" t="s">
        <v>12</v>
      </c>
      <c r="G428" t="s">
        <v>13</v>
      </c>
      <c r="H428" s="1">
        <v>46290</v>
      </c>
      <c r="I428">
        <v>0</v>
      </c>
      <c r="J428">
        <v>4.57</v>
      </c>
      <c r="K428">
        <v>0</v>
      </c>
      <c r="L428">
        <v>950</v>
      </c>
      <c r="M428">
        <v>47.602908699808701</v>
      </c>
      <c r="N428">
        <v>1.9319999999999999</v>
      </c>
      <c r="O428">
        <f>(Table1[[#This Row],[P]]&lt;&gt;0)*(Table1[[#This Row],[C]]&lt;&gt;0)</f>
        <v>0</v>
      </c>
      <c r="P428">
        <f>NETWORKDAYS(Table1[[#This Row],[ts_event]],Table1[[#This Row],[option_expiry_date]])</f>
        <v>108</v>
      </c>
      <c r="Q428">
        <f>Table1[[#This Row],[Column2]]/252</f>
        <v>0.42857142857142855</v>
      </c>
      <c r="R428" s="2" t="e">
        <f>IF(Table1[[#This Row],[CHECK2]]=0,NA(),
-(1/Table1[[#This Row],[T]])*LN((Table1[[#This Row],[S0]]-Table1[[#This Row],[C]]+Table1[[#This Row],[P]])/Table1[[#This Row],[K]])
)</f>
        <v>#N/A</v>
      </c>
    </row>
    <row r="429" spans="1:18">
      <c r="A429">
        <v>1</v>
      </c>
      <c r="B429" t="s">
        <v>10</v>
      </c>
      <c r="C429" s="1">
        <v>46141</v>
      </c>
      <c r="D429" t="s">
        <v>18</v>
      </c>
      <c r="E429">
        <v>65</v>
      </c>
      <c r="F429" t="s">
        <v>12</v>
      </c>
      <c r="G429" t="s">
        <v>13</v>
      </c>
      <c r="H429" s="1">
        <v>46290</v>
      </c>
      <c r="I429">
        <v>0</v>
      </c>
      <c r="J429">
        <v>3.9</v>
      </c>
      <c r="K429">
        <v>0</v>
      </c>
      <c r="L429">
        <v>550</v>
      </c>
      <c r="M429">
        <v>47.602908699808701</v>
      </c>
      <c r="N429">
        <v>1.9319999999999999</v>
      </c>
      <c r="O429">
        <f>(Table1[[#This Row],[P]]&lt;&gt;0)*(Table1[[#This Row],[C]]&lt;&gt;0)</f>
        <v>0</v>
      </c>
      <c r="P429">
        <f>NETWORKDAYS(Table1[[#This Row],[ts_event]],Table1[[#This Row],[option_expiry_date]])</f>
        <v>108</v>
      </c>
      <c r="Q429">
        <f>Table1[[#This Row],[Column2]]/252</f>
        <v>0.42857142857142855</v>
      </c>
      <c r="R429" s="2" t="e">
        <f>IF(Table1[[#This Row],[CHECK2]]=0,NA(),
-(1/Table1[[#This Row],[T]])*LN((Table1[[#This Row],[S0]]-Table1[[#This Row],[C]]+Table1[[#This Row],[P]])/Table1[[#This Row],[K]])
)</f>
        <v>#N/A</v>
      </c>
    </row>
    <row r="430" spans="1:18">
      <c r="A430">
        <v>1</v>
      </c>
      <c r="B430" t="s">
        <v>10</v>
      </c>
      <c r="C430" s="1">
        <v>46141</v>
      </c>
      <c r="D430" t="s">
        <v>18</v>
      </c>
      <c r="E430">
        <v>70</v>
      </c>
      <c r="F430" t="s">
        <v>12</v>
      </c>
      <c r="G430" t="s">
        <v>13</v>
      </c>
      <c r="H430" s="1">
        <v>46290</v>
      </c>
      <c r="I430">
        <v>0</v>
      </c>
      <c r="J430">
        <v>3.43</v>
      </c>
      <c r="K430">
        <v>0</v>
      </c>
      <c r="L430">
        <v>250</v>
      </c>
      <c r="M430">
        <v>47.602908699808701</v>
      </c>
      <c r="N430">
        <v>1.9319999999999999</v>
      </c>
      <c r="O430">
        <f>(Table1[[#This Row],[P]]&lt;&gt;0)*(Table1[[#This Row],[C]]&lt;&gt;0)</f>
        <v>0</v>
      </c>
      <c r="P430">
        <f>NETWORKDAYS(Table1[[#This Row],[ts_event]],Table1[[#This Row],[option_expiry_date]])</f>
        <v>108</v>
      </c>
      <c r="Q430">
        <f>Table1[[#This Row],[Column2]]/252</f>
        <v>0.42857142857142855</v>
      </c>
      <c r="R430" s="2" t="e">
        <f>IF(Table1[[#This Row],[CHECK2]]=0,NA(),
-(1/Table1[[#This Row],[T]])*LN((Table1[[#This Row],[S0]]-Table1[[#This Row],[C]]+Table1[[#This Row],[P]])/Table1[[#This Row],[K]])
)</f>
        <v>#N/A</v>
      </c>
    </row>
    <row r="431" spans="1:18">
      <c r="A431">
        <v>1</v>
      </c>
      <c r="B431" t="s">
        <v>10</v>
      </c>
      <c r="C431" s="1">
        <v>46142</v>
      </c>
      <c r="D431" t="s">
        <v>14</v>
      </c>
      <c r="E431">
        <v>26</v>
      </c>
      <c r="F431" t="s">
        <v>12</v>
      </c>
      <c r="G431" t="s">
        <v>13</v>
      </c>
      <c r="H431" s="1">
        <v>46169</v>
      </c>
      <c r="I431">
        <v>0.06</v>
      </c>
      <c r="J431">
        <v>0</v>
      </c>
      <c r="K431">
        <v>600</v>
      </c>
      <c r="L431">
        <v>0</v>
      </c>
      <c r="M431">
        <v>46.25</v>
      </c>
      <c r="N431">
        <v>1.93</v>
      </c>
      <c r="O431">
        <f>(Table1[[#This Row],[P]]&lt;&gt;0)*(Table1[[#This Row],[C]]&lt;&gt;0)</f>
        <v>0</v>
      </c>
      <c r="P431">
        <f>NETWORKDAYS(Table1[[#This Row],[ts_event]],Table1[[#This Row],[option_expiry_date]])</f>
        <v>20</v>
      </c>
      <c r="Q431">
        <f>Table1[[#This Row],[Column2]]/252</f>
        <v>7.9365079365079361E-2</v>
      </c>
      <c r="R431" s="2" t="e">
        <f>IF(Table1[[#This Row],[CHECK2]]=0,NA(),
-(1/Table1[[#This Row],[T]])*LN((Table1[[#This Row],[S0]]-Table1[[#This Row],[C]]+Table1[[#This Row],[P]])/Table1[[#This Row],[K]])
)</f>
        <v>#N/A</v>
      </c>
    </row>
    <row r="432" spans="1:18">
      <c r="A432">
        <v>2</v>
      </c>
      <c r="B432" t="s">
        <v>10</v>
      </c>
      <c r="C432" s="1">
        <v>46142</v>
      </c>
      <c r="D432" t="s">
        <v>14</v>
      </c>
      <c r="E432">
        <v>30</v>
      </c>
      <c r="F432" t="s">
        <v>12</v>
      </c>
      <c r="G432" t="s">
        <v>13</v>
      </c>
      <c r="H432" s="1">
        <v>46169</v>
      </c>
      <c r="I432">
        <v>7.3783783783783696E-2</v>
      </c>
      <c r="J432">
        <v>0</v>
      </c>
      <c r="K432">
        <v>1850</v>
      </c>
      <c r="L432">
        <v>0</v>
      </c>
      <c r="M432">
        <v>46.25</v>
      </c>
      <c r="N432">
        <v>1.93</v>
      </c>
      <c r="O432">
        <f>(Table1[[#This Row],[P]]&lt;&gt;0)*(Table1[[#This Row],[C]]&lt;&gt;0)</f>
        <v>0</v>
      </c>
      <c r="P432">
        <f>NETWORKDAYS(Table1[[#This Row],[ts_event]],Table1[[#This Row],[option_expiry_date]])</f>
        <v>20</v>
      </c>
      <c r="Q432">
        <f>Table1[[#This Row],[Column2]]/252</f>
        <v>7.9365079365079361E-2</v>
      </c>
      <c r="R432" s="2" t="e">
        <f>IF(Table1[[#This Row],[CHECK2]]=0,NA(),
-(1/Table1[[#This Row],[T]])*LN((Table1[[#This Row],[S0]]-Table1[[#This Row],[C]]+Table1[[#This Row],[P]])/Table1[[#This Row],[K]])
)</f>
        <v>#N/A</v>
      </c>
    </row>
    <row r="433" spans="1:18">
      <c r="A433">
        <v>1</v>
      </c>
      <c r="B433" t="s">
        <v>10</v>
      </c>
      <c r="C433" s="1">
        <v>46142</v>
      </c>
      <c r="D433" t="s">
        <v>14</v>
      </c>
      <c r="E433">
        <v>31</v>
      </c>
      <c r="F433" t="s">
        <v>12</v>
      </c>
      <c r="G433" t="s">
        <v>13</v>
      </c>
      <c r="H433" s="1">
        <v>46169</v>
      </c>
      <c r="I433">
        <v>0.13</v>
      </c>
      <c r="J433">
        <v>0</v>
      </c>
      <c r="K433">
        <v>280</v>
      </c>
      <c r="L433">
        <v>0</v>
      </c>
      <c r="M433">
        <v>46.25</v>
      </c>
      <c r="N433">
        <v>1.93</v>
      </c>
      <c r="O433">
        <f>(Table1[[#This Row],[P]]&lt;&gt;0)*(Table1[[#This Row],[C]]&lt;&gt;0)</f>
        <v>0</v>
      </c>
      <c r="P433">
        <f>NETWORKDAYS(Table1[[#This Row],[ts_event]],Table1[[#This Row],[option_expiry_date]])</f>
        <v>20</v>
      </c>
      <c r="Q433">
        <f>Table1[[#This Row],[Column2]]/252</f>
        <v>7.9365079365079361E-2</v>
      </c>
      <c r="R433" s="2" t="e">
        <f>IF(Table1[[#This Row],[CHECK2]]=0,NA(),
-(1/Table1[[#This Row],[T]])*LN((Table1[[#This Row],[S0]]-Table1[[#This Row],[C]]+Table1[[#This Row],[P]])/Table1[[#This Row],[K]])
)</f>
        <v>#N/A</v>
      </c>
    </row>
    <row r="434" spans="1:18">
      <c r="A434">
        <v>1</v>
      </c>
      <c r="B434" t="s">
        <v>10</v>
      </c>
      <c r="C434" s="1">
        <v>46142</v>
      </c>
      <c r="D434" t="s">
        <v>14</v>
      </c>
      <c r="E434">
        <v>34</v>
      </c>
      <c r="F434" t="s">
        <v>12</v>
      </c>
      <c r="G434" t="s">
        <v>13</v>
      </c>
      <c r="H434" s="1">
        <v>46169</v>
      </c>
      <c r="I434">
        <v>0.27</v>
      </c>
      <c r="J434">
        <v>0</v>
      </c>
      <c r="K434">
        <v>100</v>
      </c>
      <c r="L434">
        <v>0</v>
      </c>
      <c r="M434">
        <v>46.25</v>
      </c>
      <c r="N434">
        <v>1.93</v>
      </c>
      <c r="O434">
        <f>(Table1[[#This Row],[P]]&lt;&gt;0)*(Table1[[#This Row],[C]]&lt;&gt;0)</f>
        <v>0</v>
      </c>
      <c r="P434">
        <f>NETWORKDAYS(Table1[[#This Row],[ts_event]],Table1[[#This Row],[option_expiry_date]])</f>
        <v>20</v>
      </c>
      <c r="Q434">
        <f>Table1[[#This Row],[Column2]]/252</f>
        <v>7.9365079365079361E-2</v>
      </c>
      <c r="R434" s="2" t="e">
        <f>IF(Table1[[#This Row],[CHECK2]]=0,NA(),
-(1/Table1[[#This Row],[T]])*LN((Table1[[#This Row],[S0]]-Table1[[#This Row],[C]]+Table1[[#This Row],[P]])/Table1[[#This Row],[K]])
)</f>
        <v>#N/A</v>
      </c>
    </row>
    <row r="435" spans="1:18">
      <c r="A435">
        <v>2</v>
      </c>
      <c r="B435" t="s">
        <v>10</v>
      </c>
      <c r="C435" s="1">
        <v>46142</v>
      </c>
      <c r="D435" t="s">
        <v>14</v>
      </c>
      <c r="E435">
        <v>35</v>
      </c>
      <c r="F435" t="s">
        <v>12</v>
      </c>
      <c r="G435" t="s">
        <v>13</v>
      </c>
      <c r="H435" s="1">
        <v>46169</v>
      </c>
      <c r="I435">
        <v>0.35</v>
      </c>
      <c r="J435">
        <v>0</v>
      </c>
      <c r="K435">
        <v>190</v>
      </c>
      <c r="L435">
        <v>0</v>
      </c>
      <c r="M435">
        <v>46.25</v>
      </c>
      <c r="N435">
        <v>1.93</v>
      </c>
      <c r="O435">
        <f>(Table1[[#This Row],[P]]&lt;&gt;0)*(Table1[[#This Row],[C]]&lt;&gt;0)</f>
        <v>0</v>
      </c>
      <c r="P435">
        <f>NETWORKDAYS(Table1[[#This Row],[ts_event]],Table1[[#This Row],[option_expiry_date]])</f>
        <v>20</v>
      </c>
      <c r="Q435">
        <f>Table1[[#This Row],[Column2]]/252</f>
        <v>7.9365079365079361E-2</v>
      </c>
      <c r="R435" s="2" t="e">
        <f>IF(Table1[[#This Row],[CHECK2]]=0,NA(),
-(1/Table1[[#This Row],[T]])*LN((Table1[[#This Row],[S0]]-Table1[[#This Row],[C]]+Table1[[#This Row],[P]])/Table1[[#This Row],[K]])
)</f>
        <v>#N/A</v>
      </c>
    </row>
    <row r="436" spans="1:18">
      <c r="A436">
        <v>2</v>
      </c>
      <c r="B436" t="s">
        <v>10</v>
      </c>
      <c r="C436" s="1">
        <v>46142</v>
      </c>
      <c r="D436" t="s">
        <v>14</v>
      </c>
      <c r="E436">
        <v>37</v>
      </c>
      <c r="F436" t="s">
        <v>12</v>
      </c>
      <c r="G436" t="s">
        <v>13</v>
      </c>
      <c r="H436" s="1">
        <v>46169</v>
      </c>
      <c r="I436">
        <v>0.5575</v>
      </c>
      <c r="J436">
        <v>0</v>
      </c>
      <c r="K436">
        <v>1000</v>
      </c>
      <c r="L436">
        <v>0</v>
      </c>
      <c r="M436">
        <v>46.25</v>
      </c>
      <c r="N436">
        <v>1.93</v>
      </c>
      <c r="O436">
        <f>(Table1[[#This Row],[P]]&lt;&gt;0)*(Table1[[#This Row],[C]]&lt;&gt;0)</f>
        <v>0</v>
      </c>
      <c r="P436">
        <f>NETWORKDAYS(Table1[[#This Row],[ts_event]],Table1[[#This Row],[option_expiry_date]])</f>
        <v>20</v>
      </c>
      <c r="Q436">
        <f>Table1[[#This Row],[Column2]]/252</f>
        <v>7.9365079365079361E-2</v>
      </c>
      <c r="R436" s="2" t="e">
        <f>IF(Table1[[#This Row],[CHECK2]]=0,NA(),
-(1/Table1[[#This Row],[T]])*LN((Table1[[#This Row],[S0]]-Table1[[#This Row],[C]]+Table1[[#This Row],[P]])/Table1[[#This Row],[K]])
)</f>
        <v>#N/A</v>
      </c>
    </row>
    <row r="437" spans="1:18">
      <c r="A437">
        <v>1</v>
      </c>
      <c r="B437" t="s">
        <v>10</v>
      </c>
      <c r="C437" s="1">
        <v>46142</v>
      </c>
      <c r="D437" t="s">
        <v>14</v>
      </c>
      <c r="E437">
        <v>38</v>
      </c>
      <c r="F437" t="s">
        <v>12</v>
      </c>
      <c r="G437" t="s">
        <v>13</v>
      </c>
      <c r="H437" s="1">
        <v>46169</v>
      </c>
      <c r="I437">
        <v>0.7</v>
      </c>
      <c r="J437">
        <v>0</v>
      </c>
      <c r="K437">
        <v>560</v>
      </c>
      <c r="L437">
        <v>0</v>
      </c>
      <c r="M437">
        <v>46.25</v>
      </c>
      <c r="N437">
        <v>1.93</v>
      </c>
      <c r="O437">
        <f>(Table1[[#This Row],[P]]&lt;&gt;0)*(Table1[[#This Row],[C]]&lt;&gt;0)</f>
        <v>0</v>
      </c>
      <c r="P437">
        <f>NETWORKDAYS(Table1[[#This Row],[ts_event]],Table1[[#This Row],[option_expiry_date]])</f>
        <v>20</v>
      </c>
      <c r="Q437">
        <f>Table1[[#This Row],[Column2]]/252</f>
        <v>7.9365079365079361E-2</v>
      </c>
      <c r="R437" s="2" t="e">
        <f>IF(Table1[[#This Row],[CHECK2]]=0,NA(),
-(1/Table1[[#This Row],[T]])*LN((Table1[[#This Row],[S0]]-Table1[[#This Row],[C]]+Table1[[#This Row],[P]])/Table1[[#This Row],[K]])
)</f>
        <v>#N/A</v>
      </c>
    </row>
    <row r="438" spans="1:18">
      <c r="A438">
        <v>1</v>
      </c>
      <c r="B438" t="s">
        <v>10</v>
      </c>
      <c r="C438" s="1">
        <v>46142</v>
      </c>
      <c r="D438" t="s">
        <v>14</v>
      </c>
      <c r="E438">
        <v>39</v>
      </c>
      <c r="F438" t="s">
        <v>12</v>
      </c>
      <c r="G438" t="s">
        <v>13</v>
      </c>
      <c r="H438" s="1">
        <v>46169</v>
      </c>
      <c r="I438">
        <v>1.1499999999999999</v>
      </c>
      <c r="J438">
        <v>0</v>
      </c>
      <c r="K438">
        <v>1100</v>
      </c>
      <c r="L438">
        <v>0</v>
      </c>
      <c r="M438">
        <v>46.25</v>
      </c>
      <c r="N438">
        <v>1.93</v>
      </c>
      <c r="O438">
        <f>(Table1[[#This Row],[P]]&lt;&gt;0)*(Table1[[#This Row],[C]]&lt;&gt;0)</f>
        <v>0</v>
      </c>
      <c r="P438">
        <f>NETWORKDAYS(Table1[[#This Row],[ts_event]],Table1[[#This Row],[option_expiry_date]])</f>
        <v>20</v>
      </c>
      <c r="Q438">
        <f>Table1[[#This Row],[Column2]]/252</f>
        <v>7.9365079365079361E-2</v>
      </c>
      <c r="R438" s="2" t="e">
        <f>IF(Table1[[#This Row],[CHECK2]]=0,NA(),
-(1/Table1[[#This Row],[T]])*LN((Table1[[#This Row],[S0]]-Table1[[#This Row],[C]]+Table1[[#This Row],[P]])/Table1[[#This Row],[K]])
)</f>
        <v>#N/A</v>
      </c>
    </row>
    <row r="439" spans="1:18">
      <c r="A439">
        <v>2</v>
      </c>
      <c r="B439" t="s">
        <v>10</v>
      </c>
      <c r="C439" s="1">
        <v>46142</v>
      </c>
      <c r="D439" t="s">
        <v>14</v>
      </c>
      <c r="E439">
        <v>40</v>
      </c>
      <c r="F439" t="s">
        <v>12</v>
      </c>
      <c r="G439" t="s">
        <v>13</v>
      </c>
      <c r="H439" s="1">
        <v>46169</v>
      </c>
      <c r="I439">
        <v>1.2549999999999999</v>
      </c>
      <c r="J439">
        <v>0</v>
      </c>
      <c r="K439">
        <v>1035</v>
      </c>
      <c r="L439">
        <v>0</v>
      </c>
      <c r="M439">
        <v>46.25</v>
      </c>
      <c r="N439">
        <v>1.93</v>
      </c>
      <c r="O439">
        <f>(Table1[[#This Row],[P]]&lt;&gt;0)*(Table1[[#This Row],[C]]&lt;&gt;0)</f>
        <v>0</v>
      </c>
      <c r="P439">
        <f>NETWORKDAYS(Table1[[#This Row],[ts_event]],Table1[[#This Row],[option_expiry_date]])</f>
        <v>20</v>
      </c>
      <c r="Q439">
        <f>Table1[[#This Row],[Column2]]/252</f>
        <v>7.9365079365079361E-2</v>
      </c>
      <c r="R439" s="2" t="e">
        <f>IF(Table1[[#This Row],[CHECK2]]=0,NA(),
-(1/Table1[[#This Row],[T]])*LN((Table1[[#This Row],[S0]]-Table1[[#This Row],[C]]+Table1[[#This Row],[P]])/Table1[[#This Row],[K]])
)</f>
        <v>#N/A</v>
      </c>
    </row>
    <row r="440" spans="1:18">
      <c r="A440">
        <v>1</v>
      </c>
      <c r="B440" t="s">
        <v>10</v>
      </c>
      <c r="C440" s="1">
        <v>46142</v>
      </c>
      <c r="D440" t="s">
        <v>14</v>
      </c>
      <c r="E440">
        <v>45</v>
      </c>
      <c r="F440" t="s">
        <v>12</v>
      </c>
      <c r="G440" t="s">
        <v>13</v>
      </c>
      <c r="H440" s="1">
        <v>46169</v>
      </c>
      <c r="I440">
        <v>3.2749999999999999</v>
      </c>
      <c r="J440">
        <v>0</v>
      </c>
      <c r="K440">
        <v>2101</v>
      </c>
      <c r="L440">
        <v>0</v>
      </c>
      <c r="M440">
        <v>46.25</v>
      </c>
      <c r="N440">
        <v>1.93</v>
      </c>
      <c r="O440">
        <f>(Table1[[#This Row],[P]]&lt;&gt;0)*(Table1[[#This Row],[C]]&lt;&gt;0)</f>
        <v>0</v>
      </c>
      <c r="P440">
        <f>NETWORKDAYS(Table1[[#This Row],[ts_event]],Table1[[#This Row],[option_expiry_date]])</f>
        <v>20</v>
      </c>
      <c r="Q440">
        <f>Table1[[#This Row],[Column2]]/252</f>
        <v>7.9365079365079361E-2</v>
      </c>
      <c r="R440" s="2" t="e">
        <f>IF(Table1[[#This Row],[CHECK2]]=0,NA(),
-(1/Table1[[#This Row],[T]])*LN((Table1[[#This Row],[S0]]-Table1[[#This Row],[C]]+Table1[[#This Row],[P]])/Table1[[#This Row],[K]])
)</f>
        <v>#N/A</v>
      </c>
    </row>
    <row r="441" spans="1:18">
      <c r="A441">
        <v>1</v>
      </c>
      <c r="B441" t="s">
        <v>10</v>
      </c>
      <c r="C441" s="1">
        <v>46142</v>
      </c>
      <c r="D441" t="s">
        <v>14</v>
      </c>
      <c r="E441">
        <v>46</v>
      </c>
      <c r="F441" t="s">
        <v>12</v>
      </c>
      <c r="G441" t="s">
        <v>13</v>
      </c>
      <c r="H441" s="1">
        <v>46169</v>
      </c>
      <c r="I441">
        <v>0</v>
      </c>
      <c r="J441">
        <v>4.28</v>
      </c>
      <c r="K441">
        <v>0</v>
      </c>
      <c r="L441">
        <v>270</v>
      </c>
      <c r="M441">
        <v>46.25</v>
      </c>
      <c r="N441">
        <v>1.93</v>
      </c>
      <c r="O441">
        <f>(Table1[[#This Row],[P]]&lt;&gt;0)*(Table1[[#This Row],[C]]&lt;&gt;0)</f>
        <v>0</v>
      </c>
      <c r="P441">
        <f>NETWORKDAYS(Table1[[#This Row],[ts_event]],Table1[[#This Row],[option_expiry_date]])</f>
        <v>20</v>
      </c>
      <c r="Q441">
        <f>Table1[[#This Row],[Column2]]/252</f>
        <v>7.9365079365079361E-2</v>
      </c>
      <c r="R441" s="2" t="e">
        <f>IF(Table1[[#This Row],[CHECK2]]=0,NA(),
-(1/Table1[[#This Row],[T]])*LN((Table1[[#This Row],[S0]]-Table1[[#This Row],[C]]+Table1[[#This Row],[P]])/Table1[[#This Row],[K]])
)</f>
        <v>#N/A</v>
      </c>
    </row>
    <row r="442" spans="1:18">
      <c r="A442">
        <v>4</v>
      </c>
      <c r="B442" t="s">
        <v>10</v>
      </c>
      <c r="C442" s="1">
        <v>46142</v>
      </c>
      <c r="D442" t="s">
        <v>14</v>
      </c>
      <c r="E442">
        <v>47</v>
      </c>
      <c r="F442" t="s">
        <v>12</v>
      </c>
      <c r="G442" t="s">
        <v>13</v>
      </c>
      <c r="H442" s="1">
        <v>46169</v>
      </c>
      <c r="I442">
        <v>4.649</v>
      </c>
      <c r="J442">
        <v>4.01</v>
      </c>
      <c r="K442">
        <v>250</v>
      </c>
      <c r="L442">
        <v>150</v>
      </c>
      <c r="M442">
        <v>46.25</v>
      </c>
      <c r="N442">
        <v>1.93</v>
      </c>
      <c r="O442">
        <f>(Table1[[#This Row],[P]]&lt;&gt;0)*(Table1[[#This Row],[C]]&lt;&gt;0)</f>
        <v>1</v>
      </c>
      <c r="P442">
        <f>NETWORKDAYS(Table1[[#This Row],[ts_event]],Table1[[#This Row],[option_expiry_date]])</f>
        <v>20</v>
      </c>
      <c r="Q442">
        <f>Table1[[#This Row],[Column2]]/252</f>
        <v>7.9365079365079361E-2</v>
      </c>
      <c r="R442" s="2">
        <f>IF(Table1[[#This Row],[CHECK2]]=0,NA(),
-(1/Table1[[#This Row],[T]])*LN((Table1[[#This Row],[S0]]-Table1[[#This Row],[C]]+Table1[[#This Row],[P]])/Table1[[#This Row],[K]])
)</f>
        <v>2.9792641344824223E-2</v>
      </c>
    </row>
    <row r="443" spans="1:18">
      <c r="A443">
        <v>1</v>
      </c>
      <c r="B443" t="s">
        <v>10</v>
      </c>
      <c r="C443" s="1">
        <v>46142</v>
      </c>
      <c r="D443" t="s">
        <v>14</v>
      </c>
      <c r="E443">
        <v>48</v>
      </c>
      <c r="F443" t="s">
        <v>12</v>
      </c>
      <c r="G443" t="s">
        <v>13</v>
      </c>
      <c r="H443" s="1">
        <v>46169</v>
      </c>
      <c r="I443">
        <v>5</v>
      </c>
      <c r="J443">
        <v>0</v>
      </c>
      <c r="K443">
        <v>25</v>
      </c>
      <c r="L443">
        <v>0</v>
      </c>
      <c r="M443">
        <v>46.25</v>
      </c>
      <c r="N443">
        <v>1.93</v>
      </c>
      <c r="O443">
        <f>(Table1[[#This Row],[P]]&lt;&gt;0)*(Table1[[#This Row],[C]]&lt;&gt;0)</f>
        <v>0</v>
      </c>
      <c r="P443">
        <f>NETWORKDAYS(Table1[[#This Row],[ts_event]],Table1[[#This Row],[option_expiry_date]])</f>
        <v>20</v>
      </c>
      <c r="Q443">
        <f>Table1[[#This Row],[Column2]]/252</f>
        <v>7.9365079365079361E-2</v>
      </c>
      <c r="R443" s="2" t="e">
        <f>IF(Table1[[#This Row],[CHECK2]]=0,NA(),
-(1/Table1[[#This Row],[T]])*LN((Table1[[#This Row],[S0]]-Table1[[#This Row],[C]]+Table1[[#This Row],[P]])/Table1[[#This Row],[K]])
)</f>
        <v>#N/A</v>
      </c>
    </row>
    <row r="444" spans="1:18">
      <c r="A444">
        <v>1</v>
      </c>
      <c r="B444" t="s">
        <v>10</v>
      </c>
      <c r="C444" s="1">
        <v>46142</v>
      </c>
      <c r="D444" t="s">
        <v>14</v>
      </c>
      <c r="E444">
        <v>49</v>
      </c>
      <c r="F444" t="s">
        <v>12</v>
      </c>
      <c r="G444" t="s">
        <v>13</v>
      </c>
      <c r="H444" s="1">
        <v>46169</v>
      </c>
      <c r="I444">
        <v>0</v>
      </c>
      <c r="J444">
        <v>3.3</v>
      </c>
      <c r="K444">
        <v>0</v>
      </c>
      <c r="L444">
        <v>250</v>
      </c>
      <c r="M444">
        <v>46.25</v>
      </c>
      <c r="N444">
        <v>1.93</v>
      </c>
      <c r="O444">
        <f>(Table1[[#This Row],[P]]&lt;&gt;0)*(Table1[[#This Row],[C]]&lt;&gt;0)</f>
        <v>0</v>
      </c>
      <c r="P444">
        <f>NETWORKDAYS(Table1[[#This Row],[ts_event]],Table1[[#This Row],[option_expiry_date]])</f>
        <v>20</v>
      </c>
      <c r="Q444">
        <f>Table1[[#This Row],[Column2]]/252</f>
        <v>7.9365079365079361E-2</v>
      </c>
      <c r="R444" s="2" t="e">
        <f>IF(Table1[[#This Row],[CHECK2]]=0,NA(),
-(1/Table1[[#This Row],[T]])*LN((Table1[[#This Row],[S0]]-Table1[[#This Row],[C]]+Table1[[#This Row],[P]])/Table1[[#This Row],[K]])
)</f>
        <v>#N/A</v>
      </c>
    </row>
    <row r="445" spans="1:18">
      <c r="A445">
        <v>1</v>
      </c>
      <c r="B445" t="s">
        <v>10</v>
      </c>
      <c r="C445" s="1">
        <v>46142</v>
      </c>
      <c r="D445" t="s">
        <v>14</v>
      </c>
      <c r="E445">
        <v>50</v>
      </c>
      <c r="F445" t="s">
        <v>12</v>
      </c>
      <c r="G445" t="s">
        <v>13</v>
      </c>
      <c r="H445" s="1">
        <v>46169</v>
      </c>
      <c r="I445">
        <v>0</v>
      </c>
      <c r="J445">
        <v>3.36</v>
      </c>
      <c r="K445">
        <v>0</v>
      </c>
      <c r="L445">
        <v>3100</v>
      </c>
      <c r="M445">
        <v>46.25</v>
      </c>
      <c r="N445">
        <v>1.93</v>
      </c>
      <c r="O445">
        <f>(Table1[[#This Row],[P]]&lt;&gt;0)*(Table1[[#This Row],[C]]&lt;&gt;0)</f>
        <v>0</v>
      </c>
      <c r="P445">
        <f>NETWORKDAYS(Table1[[#This Row],[ts_event]],Table1[[#This Row],[option_expiry_date]])</f>
        <v>20</v>
      </c>
      <c r="Q445">
        <f>Table1[[#This Row],[Column2]]/252</f>
        <v>7.9365079365079361E-2</v>
      </c>
      <c r="R445" s="2" t="e">
        <f>IF(Table1[[#This Row],[CHECK2]]=0,NA(),
-(1/Table1[[#This Row],[T]])*LN((Table1[[#This Row],[S0]]-Table1[[#This Row],[C]]+Table1[[#This Row],[P]])/Table1[[#This Row],[K]])
)</f>
        <v>#N/A</v>
      </c>
    </row>
    <row r="446" spans="1:18">
      <c r="A446">
        <v>1</v>
      </c>
      <c r="B446" t="s">
        <v>10</v>
      </c>
      <c r="C446" s="1">
        <v>46142</v>
      </c>
      <c r="D446" t="s">
        <v>14</v>
      </c>
      <c r="E446">
        <v>52</v>
      </c>
      <c r="F446" t="s">
        <v>12</v>
      </c>
      <c r="G446" t="s">
        <v>13</v>
      </c>
      <c r="H446" s="1">
        <v>46169</v>
      </c>
      <c r="I446">
        <v>8.65</v>
      </c>
      <c r="J446">
        <v>0</v>
      </c>
      <c r="K446">
        <v>1000</v>
      </c>
      <c r="L446">
        <v>0</v>
      </c>
      <c r="M446">
        <v>46.25</v>
      </c>
      <c r="N446">
        <v>1.93</v>
      </c>
      <c r="O446">
        <f>(Table1[[#This Row],[P]]&lt;&gt;0)*(Table1[[#This Row],[C]]&lt;&gt;0)</f>
        <v>0</v>
      </c>
      <c r="P446">
        <f>NETWORKDAYS(Table1[[#This Row],[ts_event]],Table1[[#This Row],[option_expiry_date]])</f>
        <v>20</v>
      </c>
      <c r="Q446">
        <f>Table1[[#This Row],[Column2]]/252</f>
        <v>7.9365079365079361E-2</v>
      </c>
      <c r="R446" s="2" t="e">
        <f>IF(Table1[[#This Row],[CHECK2]]=0,NA(),
-(1/Table1[[#This Row],[T]])*LN((Table1[[#This Row],[S0]]-Table1[[#This Row],[C]]+Table1[[#This Row],[P]])/Table1[[#This Row],[K]])
)</f>
        <v>#N/A</v>
      </c>
    </row>
    <row r="447" spans="1:18">
      <c r="A447">
        <v>2</v>
      </c>
      <c r="B447" t="s">
        <v>10</v>
      </c>
      <c r="C447" s="1">
        <v>46142</v>
      </c>
      <c r="D447" t="s">
        <v>14</v>
      </c>
      <c r="E447">
        <v>55</v>
      </c>
      <c r="F447" t="s">
        <v>12</v>
      </c>
      <c r="G447" t="s">
        <v>13</v>
      </c>
      <c r="H447" s="1">
        <v>46169</v>
      </c>
      <c r="I447">
        <v>0</v>
      </c>
      <c r="J447">
        <v>2.05118371212121</v>
      </c>
      <c r="K447">
        <v>0</v>
      </c>
      <c r="L447">
        <v>1056</v>
      </c>
      <c r="M447">
        <v>46.25</v>
      </c>
      <c r="N447">
        <v>1.93</v>
      </c>
      <c r="O447">
        <f>(Table1[[#This Row],[P]]&lt;&gt;0)*(Table1[[#This Row],[C]]&lt;&gt;0)</f>
        <v>0</v>
      </c>
      <c r="P447">
        <f>NETWORKDAYS(Table1[[#This Row],[ts_event]],Table1[[#This Row],[option_expiry_date]])</f>
        <v>20</v>
      </c>
      <c r="Q447">
        <f>Table1[[#This Row],[Column2]]/252</f>
        <v>7.9365079365079361E-2</v>
      </c>
      <c r="R447" s="2" t="e">
        <f>IF(Table1[[#This Row],[CHECK2]]=0,NA(),
-(1/Table1[[#This Row],[T]])*LN((Table1[[#This Row],[S0]]-Table1[[#This Row],[C]]+Table1[[#This Row],[P]])/Table1[[#This Row],[K]])
)</f>
        <v>#N/A</v>
      </c>
    </row>
    <row r="448" spans="1:18">
      <c r="A448">
        <v>2</v>
      </c>
      <c r="B448" t="s">
        <v>10</v>
      </c>
      <c r="C448" s="1">
        <v>46142</v>
      </c>
      <c r="D448" t="s">
        <v>14</v>
      </c>
      <c r="E448">
        <v>60</v>
      </c>
      <c r="F448" t="s">
        <v>12</v>
      </c>
      <c r="G448" t="s">
        <v>13</v>
      </c>
      <c r="H448" s="1">
        <v>46169</v>
      </c>
      <c r="I448">
        <v>0</v>
      </c>
      <c r="J448">
        <v>1.8454773869346699</v>
      </c>
      <c r="K448">
        <v>0</v>
      </c>
      <c r="L448">
        <v>995</v>
      </c>
      <c r="M448">
        <v>46.25</v>
      </c>
      <c r="N448">
        <v>1.93</v>
      </c>
      <c r="O448">
        <f>(Table1[[#This Row],[P]]&lt;&gt;0)*(Table1[[#This Row],[C]]&lt;&gt;0)</f>
        <v>0</v>
      </c>
      <c r="P448">
        <f>NETWORKDAYS(Table1[[#This Row],[ts_event]],Table1[[#This Row],[option_expiry_date]])</f>
        <v>20</v>
      </c>
      <c r="Q448">
        <f>Table1[[#This Row],[Column2]]/252</f>
        <v>7.9365079365079361E-2</v>
      </c>
      <c r="R448" s="2" t="e">
        <f>IF(Table1[[#This Row],[CHECK2]]=0,NA(),
-(1/Table1[[#This Row],[T]])*LN((Table1[[#This Row],[S0]]-Table1[[#This Row],[C]]+Table1[[#This Row],[P]])/Table1[[#This Row],[K]])
)</f>
        <v>#N/A</v>
      </c>
    </row>
    <row r="449" spans="1:18">
      <c r="A449">
        <v>1</v>
      </c>
      <c r="B449" t="s">
        <v>10</v>
      </c>
      <c r="C449" s="1">
        <v>46142</v>
      </c>
      <c r="D449" t="s">
        <v>14</v>
      </c>
      <c r="E449">
        <v>65</v>
      </c>
      <c r="F449" t="s">
        <v>12</v>
      </c>
      <c r="G449" t="s">
        <v>13</v>
      </c>
      <c r="H449" s="1">
        <v>46169</v>
      </c>
      <c r="I449">
        <v>0</v>
      </c>
      <c r="J449">
        <v>0.97</v>
      </c>
      <c r="K449">
        <v>0</v>
      </c>
      <c r="L449">
        <v>300</v>
      </c>
      <c r="M449">
        <v>46.25</v>
      </c>
      <c r="N449">
        <v>1.93</v>
      </c>
      <c r="O449">
        <f>(Table1[[#This Row],[P]]&lt;&gt;0)*(Table1[[#This Row],[C]]&lt;&gt;0)</f>
        <v>0</v>
      </c>
      <c r="P449">
        <f>NETWORKDAYS(Table1[[#This Row],[ts_event]],Table1[[#This Row],[option_expiry_date]])</f>
        <v>20</v>
      </c>
      <c r="Q449">
        <f>Table1[[#This Row],[Column2]]/252</f>
        <v>7.9365079365079361E-2</v>
      </c>
      <c r="R449" s="2" t="e">
        <f>IF(Table1[[#This Row],[CHECK2]]=0,NA(),
-(1/Table1[[#This Row],[T]])*LN((Table1[[#This Row],[S0]]-Table1[[#This Row],[C]]+Table1[[#This Row],[P]])/Table1[[#This Row],[K]])
)</f>
        <v>#N/A</v>
      </c>
    </row>
    <row r="450" spans="1:18">
      <c r="A450">
        <v>2</v>
      </c>
      <c r="B450" t="s">
        <v>10</v>
      </c>
      <c r="C450" s="1">
        <v>46142</v>
      </c>
      <c r="D450" t="s">
        <v>14</v>
      </c>
      <c r="E450">
        <v>70</v>
      </c>
      <c r="F450" t="s">
        <v>12</v>
      </c>
      <c r="G450" t="s">
        <v>13</v>
      </c>
      <c r="H450" s="1">
        <v>46169</v>
      </c>
      <c r="I450">
        <v>0</v>
      </c>
      <c r="J450">
        <v>0.91694312796208499</v>
      </c>
      <c r="K450">
        <v>0</v>
      </c>
      <c r="L450">
        <v>2110</v>
      </c>
      <c r="M450">
        <v>46.25</v>
      </c>
      <c r="N450">
        <v>1.93</v>
      </c>
      <c r="O450">
        <f>(Table1[[#This Row],[P]]&lt;&gt;0)*(Table1[[#This Row],[C]]&lt;&gt;0)</f>
        <v>0</v>
      </c>
      <c r="P450">
        <f>NETWORKDAYS(Table1[[#This Row],[ts_event]],Table1[[#This Row],[option_expiry_date]])</f>
        <v>20</v>
      </c>
      <c r="Q450">
        <f>Table1[[#This Row],[Column2]]/252</f>
        <v>7.9365079365079361E-2</v>
      </c>
      <c r="R450" s="2" t="e">
        <f>IF(Table1[[#This Row],[CHECK2]]=0,NA(),
-(1/Table1[[#This Row],[T]])*LN((Table1[[#This Row],[S0]]-Table1[[#This Row],[C]]+Table1[[#This Row],[P]])/Table1[[#This Row],[K]])
)</f>
        <v>#N/A</v>
      </c>
    </row>
    <row r="451" spans="1:18">
      <c r="A451">
        <v>1</v>
      </c>
      <c r="B451" t="s">
        <v>10</v>
      </c>
      <c r="C451" s="1">
        <v>46142</v>
      </c>
      <c r="D451" t="s">
        <v>14</v>
      </c>
      <c r="E451">
        <v>80</v>
      </c>
      <c r="F451" t="s">
        <v>12</v>
      </c>
      <c r="G451" t="s">
        <v>13</v>
      </c>
      <c r="H451" s="1">
        <v>46169</v>
      </c>
      <c r="I451">
        <v>0</v>
      </c>
      <c r="J451">
        <v>0.45</v>
      </c>
      <c r="K451">
        <v>0</v>
      </c>
      <c r="L451">
        <v>250</v>
      </c>
      <c r="M451">
        <v>46.25</v>
      </c>
      <c r="N451">
        <v>1.93</v>
      </c>
      <c r="O451">
        <f>(Table1[[#This Row],[P]]&lt;&gt;0)*(Table1[[#This Row],[C]]&lt;&gt;0)</f>
        <v>0</v>
      </c>
      <c r="P451">
        <f>NETWORKDAYS(Table1[[#This Row],[ts_event]],Table1[[#This Row],[option_expiry_date]])</f>
        <v>20</v>
      </c>
      <c r="Q451">
        <f>Table1[[#This Row],[Column2]]/252</f>
        <v>7.9365079365079361E-2</v>
      </c>
      <c r="R451" s="2" t="e">
        <f>IF(Table1[[#This Row],[CHECK2]]=0,NA(),
-(1/Table1[[#This Row],[T]])*LN((Table1[[#This Row],[S0]]-Table1[[#This Row],[C]]+Table1[[#This Row],[P]])/Table1[[#This Row],[K]])
)</f>
        <v>#N/A</v>
      </c>
    </row>
    <row r="452" spans="1:18">
      <c r="A452">
        <v>2</v>
      </c>
      <c r="B452" t="s">
        <v>10</v>
      </c>
      <c r="C452" s="1">
        <v>46142</v>
      </c>
      <c r="D452" t="s">
        <v>15</v>
      </c>
      <c r="E452">
        <v>30</v>
      </c>
      <c r="F452" t="s">
        <v>12</v>
      </c>
      <c r="G452" t="s">
        <v>13</v>
      </c>
      <c r="H452" s="1">
        <v>46199</v>
      </c>
      <c r="I452">
        <v>0.34699999999999998</v>
      </c>
      <c r="J452">
        <v>0</v>
      </c>
      <c r="K452">
        <v>125</v>
      </c>
      <c r="L452">
        <v>0</v>
      </c>
      <c r="M452">
        <v>46.218559854124301</v>
      </c>
      <c r="N452">
        <v>1.93</v>
      </c>
      <c r="O452">
        <f>(Table1[[#This Row],[P]]&lt;&gt;0)*(Table1[[#This Row],[C]]&lt;&gt;0)</f>
        <v>0</v>
      </c>
      <c r="P452">
        <f>NETWORKDAYS(Table1[[#This Row],[ts_event]],Table1[[#This Row],[option_expiry_date]])</f>
        <v>42</v>
      </c>
      <c r="Q452">
        <f>Table1[[#This Row],[Column2]]/252</f>
        <v>0.16666666666666666</v>
      </c>
      <c r="R452" s="2" t="e">
        <f>IF(Table1[[#This Row],[CHECK2]]=0,NA(),
-(1/Table1[[#This Row],[T]])*LN((Table1[[#This Row],[S0]]-Table1[[#This Row],[C]]+Table1[[#This Row],[P]])/Table1[[#This Row],[K]])
)</f>
        <v>#N/A</v>
      </c>
    </row>
    <row r="453" spans="1:18">
      <c r="A453">
        <v>1</v>
      </c>
      <c r="B453" t="s">
        <v>10</v>
      </c>
      <c r="C453" s="1">
        <v>46142</v>
      </c>
      <c r="D453" t="s">
        <v>15</v>
      </c>
      <c r="E453">
        <v>33</v>
      </c>
      <c r="F453" t="s">
        <v>12</v>
      </c>
      <c r="G453" t="s">
        <v>13</v>
      </c>
      <c r="H453" s="1">
        <v>46199</v>
      </c>
      <c r="I453">
        <v>0.66</v>
      </c>
      <c r="J453">
        <v>0</v>
      </c>
      <c r="K453">
        <v>150</v>
      </c>
      <c r="L453">
        <v>0</v>
      </c>
      <c r="M453">
        <v>46.218559854124301</v>
      </c>
      <c r="N453">
        <v>1.93</v>
      </c>
      <c r="O453">
        <f>(Table1[[#This Row],[P]]&lt;&gt;0)*(Table1[[#This Row],[C]]&lt;&gt;0)</f>
        <v>0</v>
      </c>
      <c r="P453">
        <f>NETWORKDAYS(Table1[[#This Row],[ts_event]],Table1[[#This Row],[option_expiry_date]])</f>
        <v>42</v>
      </c>
      <c r="Q453">
        <f>Table1[[#This Row],[Column2]]/252</f>
        <v>0.16666666666666666</v>
      </c>
      <c r="R453" s="2" t="e">
        <f>IF(Table1[[#This Row],[CHECK2]]=0,NA(),
-(1/Table1[[#This Row],[T]])*LN((Table1[[#This Row],[S0]]-Table1[[#This Row],[C]]+Table1[[#This Row],[P]])/Table1[[#This Row],[K]])
)</f>
        <v>#N/A</v>
      </c>
    </row>
    <row r="454" spans="1:18">
      <c r="A454">
        <v>1</v>
      </c>
      <c r="B454" t="s">
        <v>10</v>
      </c>
      <c r="C454" s="1">
        <v>46142</v>
      </c>
      <c r="D454" t="s">
        <v>15</v>
      </c>
      <c r="E454">
        <v>37</v>
      </c>
      <c r="F454" t="s">
        <v>12</v>
      </c>
      <c r="G454" t="s">
        <v>13</v>
      </c>
      <c r="H454" s="1">
        <v>46199</v>
      </c>
      <c r="I454">
        <v>1.5</v>
      </c>
      <c r="J454">
        <v>0</v>
      </c>
      <c r="K454">
        <v>20</v>
      </c>
      <c r="L454">
        <v>0</v>
      </c>
      <c r="M454">
        <v>46.218559854124301</v>
      </c>
      <c r="N454">
        <v>1.93</v>
      </c>
      <c r="O454">
        <f>(Table1[[#This Row],[P]]&lt;&gt;0)*(Table1[[#This Row],[C]]&lt;&gt;0)</f>
        <v>0</v>
      </c>
      <c r="P454">
        <f>NETWORKDAYS(Table1[[#This Row],[ts_event]],Table1[[#This Row],[option_expiry_date]])</f>
        <v>42</v>
      </c>
      <c r="Q454">
        <f>Table1[[#This Row],[Column2]]/252</f>
        <v>0.16666666666666666</v>
      </c>
      <c r="R454" s="2" t="e">
        <f>IF(Table1[[#This Row],[CHECK2]]=0,NA(),
-(1/Table1[[#This Row],[T]])*LN((Table1[[#This Row],[S0]]-Table1[[#This Row],[C]]+Table1[[#This Row],[P]])/Table1[[#This Row],[K]])
)</f>
        <v>#N/A</v>
      </c>
    </row>
    <row r="455" spans="1:18">
      <c r="A455">
        <v>1</v>
      </c>
      <c r="B455" t="s">
        <v>10</v>
      </c>
      <c r="C455" s="1">
        <v>46142</v>
      </c>
      <c r="D455" t="s">
        <v>15</v>
      </c>
      <c r="E455">
        <v>40</v>
      </c>
      <c r="F455" t="s">
        <v>12</v>
      </c>
      <c r="G455" t="s">
        <v>13</v>
      </c>
      <c r="H455" s="1">
        <v>46199</v>
      </c>
      <c r="I455">
        <v>2.6949999999999998</v>
      </c>
      <c r="J455">
        <v>0</v>
      </c>
      <c r="K455">
        <v>975</v>
      </c>
      <c r="L455">
        <v>0</v>
      </c>
      <c r="M455">
        <v>46.218559854124301</v>
      </c>
      <c r="N455">
        <v>1.93</v>
      </c>
      <c r="O455">
        <f>(Table1[[#This Row],[P]]&lt;&gt;0)*(Table1[[#This Row],[C]]&lt;&gt;0)</f>
        <v>0</v>
      </c>
      <c r="P455">
        <f>NETWORKDAYS(Table1[[#This Row],[ts_event]],Table1[[#This Row],[option_expiry_date]])</f>
        <v>42</v>
      </c>
      <c r="Q455">
        <f>Table1[[#This Row],[Column2]]/252</f>
        <v>0.16666666666666666</v>
      </c>
      <c r="R455" s="2" t="e">
        <f>IF(Table1[[#This Row],[CHECK2]]=0,NA(),
-(1/Table1[[#This Row],[T]])*LN((Table1[[#This Row],[S0]]-Table1[[#This Row],[C]]+Table1[[#This Row],[P]])/Table1[[#This Row],[K]])
)</f>
        <v>#N/A</v>
      </c>
    </row>
    <row r="456" spans="1:18">
      <c r="A456">
        <v>2</v>
      </c>
      <c r="B456" t="s">
        <v>10</v>
      </c>
      <c r="C456" s="1">
        <v>46142</v>
      </c>
      <c r="D456" t="s">
        <v>15</v>
      </c>
      <c r="E456">
        <v>45</v>
      </c>
      <c r="F456" t="s">
        <v>12</v>
      </c>
      <c r="G456" t="s">
        <v>13</v>
      </c>
      <c r="H456" s="1">
        <v>46199</v>
      </c>
      <c r="I456">
        <v>5.5</v>
      </c>
      <c r="J456">
        <v>6.36</v>
      </c>
      <c r="K456">
        <v>400</v>
      </c>
      <c r="L456">
        <v>100</v>
      </c>
      <c r="M456">
        <v>46.218559854124301</v>
      </c>
      <c r="N456">
        <v>1.93</v>
      </c>
      <c r="O456">
        <f>(Table1[[#This Row],[P]]&lt;&gt;0)*(Table1[[#This Row],[C]]&lt;&gt;0)</f>
        <v>1</v>
      </c>
      <c r="P456">
        <f>NETWORKDAYS(Table1[[#This Row],[ts_event]],Table1[[#This Row],[option_expiry_date]])</f>
        <v>42</v>
      </c>
      <c r="Q456">
        <f>Table1[[#This Row],[Column2]]/252</f>
        <v>0.16666666666666666</v>
      </c>
      <c r="R456" s="2">
        <f>IF(Table1[[#This Row],[CHECK2]]=0,NA(),
-(1/Table1[[#This Row],[T]])*LN((Table1[[#This Row],[S0]]-Table1[[#This Row],[C]]+Table1[[#This Row],[P]])/Table1[[#This Row],[K]])
)</f>
        <v>-4.7618519384748995E-2</v>
      </c>
    </row>
    <row r="457" spans="1:18">
      <c r="A457">
        <v>1</v>
      </c>
      <c r="B457" t="s">
        <v>10</v>
      </c>
      <c r="C457" s="1">
        <v>46142</v>
      </c>
      <c r="D457" t="s">
        <v>15</v>
      </c>
      <c r="E457">
        <v>47</v>
      </c>
      <c r="F457" t="s">
        <v>12</v>
      </c>
      <c r="G457" t="s">
        <v>13</v>
      </c>
      <c r="H457" s="1">
        <v>46199</v>
      </c>
      <c r="I457">
        <v>0</v>
      </c>
      <c r="J457">
        <v>5.7750000000000004</v>
      </c>
      <c r="K457">
        <v>0</v>
      </c>
      <c r="L457">
        <v>500</v>
      </c>
      <c r="M457">
        <v>46.218559854124301</v>
      </c>
      <c r="N457">
        <v>1.93</v>
      </c>
      <c r="O457">
        <f>(Table1[[#This Row],[P]]&lt;&gt;0)*(Table1[[#This Row],[C]]&lt;&gt;0)</f>
        <v>0</v>
      </c>
      <c r="P457">
        <f>NETWORKDAYS(Table1[[#This Row],[ts_event]],Table1[[#This Row],[option_expiry_date]])</f>
        <v>42</v>
      </c>
      <c r="Q457">
        <f>Table1[[#This Row],[Column2]]/252</f>
        <v>0.16666666666666666</v>
      </c>
      <c r="R457" s="2" t="e">
        <f>IF(Table1[[#This Row],[CHECK2]]=0,NA(),
-(1/Table1[[#This Row],[T]])*LN((Table1[[#This Row],[S0]]-Table1[[#This Row],[C]]+Table1[[#This Row],[P]])/Table1[[#This Row],[K]])
)</f>
        <v>#N/A</v>
      </c>
    </row>
    <row r="458" spans="1:18">
      <c r="A458">
        <v>1</v>
      </c>
      <c r="B458" t="s">
        <v>10</v>
      </c>
      <c r="C458" s="1">
        <v>46142</v>
      </c>
      <c r="D458" t="s">
        <v>15</v>
      </c>
      <c r="E458">
        <v>50</v>
      </c>
      <c r="F458" t="s">
        <v>12</v>
      </c>
      <c r="G458" t="s">
        <v>13</v>
      </c>
      <c r="H458" s="1">
        <v>46199</v>
      </c>
      <c r="I458">
        <v>0</v>
      </c>
      <c r="J458">
        <v>5.45</v>
      </c>
      <c r="K458">
        <v>0</v>
      </c>
      <c r="L458">
        <v>655</v>
      </c>
      <c r="M458">
        <v>46.218559854124301</v>
      </c>
      <c r="N458">
        <v>1.93</v>
      </c>
      <c r="O458">
        <f>(Table1[[#This Row],[P]]&lt;&gt;0)*(Table1[[#This Row],[C]]&lt;&gt;0)</f>
        <v>0</v>
      </c>
      <c r="P458">
        <f>NETWORKDAYS(Table1[[#This Row],[ts_event]],Table1[[#This Row],[option_expiry_date]])</f>
        <v>42</v>
      </c>
      <c r="Q458">
        <f>Table1[[#This Row],[Column2]]/252</f>
        <v>0.16666666666666666</v>
      </c>
      <c r="R458" s="2" t="e">
        <f>IF(Table1[[#This Row],[CHECK2]]=0,NA(),
-(1/Table1[[#This Row],[T]])*LN((Table1[[#This Row],[S0]]-Table1[[#This Row],[C]]+Table1[[#This Row],[P]])/Table1[[#This Row],[K]])
)</f>
        <v>#N/A</v>
      </c>
    </row>
    <row r="459" spans="1:18">
      <c r="A459">
        <v>1</v>
      </c>
      <c r="B459" t="s">
        <v>10</v>
      </c>
      <c r="C459" s="1">
        <v>46142</v>
      </c>
      <c r="D459" t="s">
        <v>15</v>
      </c>
      <c r="E459">
        <v>52</v>
      </c>
      <c r="F459" t="s">
        <v>12</v>
      </c>
      <c r="G459" t="s">
        <v>13</v>
      </c>
      <c r="H459" s="1">
        <v>46199</v>
      </c>
      <c r="I459">
        <v>0</v>
      </c>
      <c r="J459">
        <v>5.45</v>
      </c>
      <c r="K459">
        <v>0</v>
      </c>
      <c r="L459">
        <v>50</v>
      </c>
      <c r="M459">
        <v>46.218559854124301</v>
      </c>
      <c r="N459">
        <v>1.93</v>
      </c>
      <c r="O459">
        <f>(Table1[[#This Row],[P]]&lt;&gt;0)*(Table1[[#This Row],[C]]&lt;&gt;0)</f>
        <v>0</v>
      </c>
      <c r="P459">
        <f>NETWORKDAYS(Table1[[#This Row],[ts_event]],Table1[[#This Row],[option_expiry_date]])</f>
        <v>42</v>
      </c>
      <c r="Q459">
        <f>Table1[[#This Row],[Column2]]/252</f>
        <v>0.16666666666666666</v>
      </c>
      <c r="R459" s="2" t="e">
        <f>IF(Table1[[#This Row],[CHECK2]]=0,NA(),
-(1/Table1[[#This Row],[T]])*LN((Table1[[#This Row],[S0]]-Table1[[#This Row],[C]]+Table1[[#This Row],[P]])/Table1[[#This Row],[K]])
)</f>
        <v>#N/A</v>
      </c>
    </row>
    <row r="460" spans="1:18">
      <c r="A460">
        <v>1</v>
      </c>
      <c r="B460" t="s">
        <v>10</v>
      </c>
      <c r="C460" s="1">
        <v>46142</v>
      </c>
      <c r="D460" t="s">
        <v>15</v>
      </c>
      <c r="E460">
        <v>55</v>
      </c>
      <c r="F460" t="s">
        <v>12</v>
      </c>
      <c r="G460" t="s">
        <v>13</v>
      </c>
      <c r="H460" s="1">
        <v>46199</v>
      </c>
      <c r="I460">
        <v>0</v>
      </c>
      <c r="J460">
        <v>3.76</v>
      </c>
      <c r="K460">
        <v>0</v>
      </c>
      <c r="L460">
        <v>350</v>
      </c>
      <c r="M460">
        <v>46.218559854124301</v>
      </c>
      <c r="N460">
        <v>1.93</v>
      </c>
      <c r="O460">
        <f>(Table1[[#This Row],[P]]&lt;&gt;0)*(Table1[[#This Row],[C]]&lt;&gt;0)</f>
        <v>0</v>
      </c>
      <c r="P460">
        <f>NETWORKDAYS(Table1[[#This Row],[ts_event]],Table1[[#This Row],[option_expiry_date]])</f>
        <v>42</v>
      </c>
      <c r="Q460">
        <f>Table1[[#This Row],[Column2]]/252</f>
        <v>0.16666666666666666</v>
      </c>
      <c r="R460" s="2" t="e">
        <f>IF(Table1[[#This Row],[CHECK2]]=0,NA(),
-(1/Table1[[#This Row],[T]])*LN((Table1[[#This Row],[S0]]-Table1[[#This Row],[C]]+Table1[[#This Row],[P]])/Table1[[#This Row],[K]])
)</f>
        <v>#N/A</v>
      </c>
    </row>
    <row r="461" spans="1:18">
      <c r="A461">
        <v>1</v>
      </c>
      <c r="B461" t="s">
        <v>10</v>
      </c>
      <c r="C461" s="1">
        <v>46142</v>
      </c>
      <c r="D461" t="s">
        <v>15</v>
      </c>
      <c r="E461">
        <v>60</v>
      </c>
      <c r="F461" t="s">
        <v>12</v>
      </c>
      <c r="G461" t="s">
        <v>13</v>
      </c>
      <c r="H461" s="1">
        <v>46199</v>
      </c>
      <c r="I461">
        <v>0</v>
      </c>
      <c r="J461">
        <v>3.5350000000000001</v>
      </c>
      <c r="K461">
        <v>0</v>
      </c>
      <c r="L461">
        <v>1155</v>
      </c>
      <c r="M461">
        <v>46.218559854124301</v>
      </c>
      <c r="N461">
        <v>1.93</v>
      </c>
      <c r="O461">
        <f>(Table1[[#This Row],[P]]&lt;&gt;0)*(Table1[[#This Row],[C]]&lt;&gt;0)</f>
        <v>0</v>
      </c>
      <c r="P461">
        <f>NETWORKDAYS(Table1[[#This Row],[ts_event]],Table1[[#This Row],[option_expiry_date]])</f>
        <v>42</v>
      </c>
      <c r="Q461">
        <f>Table1[[#This Row],[Column2]]/252</f>
        <v>0.16666666666666666</v>
      </c>
      <c r="R461" s="2" t="e">
        <f>IF(Table1[[#This Row],[CHECK2]]=0,NA(),
-(1/Table1[[#This Row],[T]])*LN((Table1[[#This Row],[S0]]-Table1[[#This Row],[C]]+Table1[[#This Row],[P]])/Table1[[#This Row],[K]])
)</f>
        <v>#N/A</v>
      </c>
    </row>
    <row r="462" spans="1:18">
      <c r="A462">
        <v>1</v>
      </c>
      <c r="B462" t="s">
        <v>10</v>
      </c>
      <c r="C462" s="1">
        <v>46142</v>
      </c>
      <c r="D462" t="s">
        <v>15</v>
      </c>
      <c r="E462">
        <v>62</v>
      </c>
      <c r="F462" t="s">
        <v>12</v>
      </c>
      <c r="G462" t="s">
        <v>13</v>
      </c>
      <c r="H462" s="1">
        <v>46199</v>
      </c>
      <c r="I462">
        <v>0</v>
      </c>
      <c r="J462">
        <v>3.4750000000000001</v>
      </c>
      <c r="K462">
        <v>0</v>
      </c>
      <c r="L462">
        <v>50</v>
      </c>
      <c r="M462">
        <v>46.218559854124301</v>
      </c>
      <c r="N462">
        <v>1.93</v>
      </c>
      <c r="O462">
        <f>(Table1[[#This Row],[P]]&lt;&gt;0)*(Table1[[#This Row],[C]]&lt;&gt;0)</f>
        <v>0</v>
      </c>
      <c r="P462">
        <f>NETWORKDAYS(Table1[[#This Row],[ts_event]],Table1[[#This Row],[option_expiry_date]])</f>
        <v>42</v>
      </c>
      <c r="Q462">
        <f>Table1[[#This Row],[Column2]]/252</f>
        <v>0.16666666666666666</v>
      </c>
      <c r="R462" s="2" t="e">
        <f>IF(Table1[[#This Row],[CHECK2]]=0,NA(),
-(1/Table1[[#This Row],[T]])*LN((Table1[[#This Row],[S0]]-Table1[[#This Row],[C]]+Table1[[#This Row],[P]])/Table1[[#This Row],[K]])
)</f>
        <v>#N/A</v>
      </c>
    </row>
    <row r="463" spans="1:18">
      <c r="A463">
        <v>2</v>
      </c>
      <c r="B463" t="s">
        <v>10</v>
      </c>
      <c r="C463" s="1">
        <v>46142</v>
      </c>
      <c r="D463" t="s">
        <v>15</v>
      </c>
      <c r="E463">
        <v>65</v>
      </c>
      <c r="F463" t="s">
        <v>12</v>
      </c>
      <c r="G463" t="s">
        <v>13</v>
      </c>
      <c r="H463" s="1">
        <v>46199</v>
      </c>
      <c r="I463">
        <v>0</v>
      </c>
      <c r="J463">
        <v>2.48599999999999</v>
      </c>
      <c r="K463">
        <v>0</v>
      </c>
      <c r="L463">
        <v>125</v>
      </c>
      <c r="M463">
        <v>46.218559854124301</v>
      </c>
      <c r="N463">
        <v>1.93</v>
      </c>
      <c r="O463">
        <f>(Table1[[#This Row],[P]]&lt;&gt;0)*(Table1[[#This Row],[C]]&lt;&gt;0)</f>
        <v>0</v>
      </c>
      <c r="P463">
        <f>NETWORKDAYS(Table1[[#This Row],[ts_event]],Table1[[#This Row],[option_expiry_date]])</f>
        <v>42</v>
      </c>
      <c r="Q463">
        <f>Table1[[#This Row],[Column2]]/252</f>
        <v>0.16666666666666666</v>
      </c>
      <c r="R463" s="2" t="e">
        <f>IF(Table1[[#This Row],[CHECK2]]=0,NA(),
-(1/Table1[[#This Row],[T]])*LN((Table1[[#This Row],[S0]]-Table1[[#This Row],[C]]+Table1[[#This Row],[P]])/Table1[[#This Row],[K]])
)</f>
        <v>#N/A</v>
      </c>
    </row>
    <row r="464" spans="1:18">
      <c r="A464">
        <v>1</v>
      </c>
      <c r="B464" t="s">
        <v>10</v>
      </c>
      <c r="C464" s="1">
        <v>46142</v>
      </c>
      <c r="D464" t="s">
        <v>15</v>
      </c>
      <c r="E464">
        <v>68</v>
      </c>
      <c r="F464" t="s">
        <v>12</v>
      </c>
      <c r="G464" t="s">
        <v>13</v>
      </c>
      <c r="H464" s="1">
        <v>46199</v>
      </c>
      <c r="I464">
        <v>0</v>
      </c>
      <c r="J464">
        <v>2.4900000000000002</v>
      </c>
      <c r="K464">
        <v>0</v>
      </c>
      <c r="L464">
        <v>5</v>
      </c>
      <c r="M464">
        <v>46.218559854124301</v>
      </c>
      <c r="N464">
        <v>1.93</v>
      </c>
      <c r="O464">
        <f>(Table1[[#This Row],[P]]&lt;&gt;0)*(Table1[[#This Row],[C]]&lt;&gt;0)</f>
        <v>0</v>
      </c>
      <c r="P464">
        <f>NETWORKDAYS(Table1[[#This Row],[ts_event]],Table1[[#This Row],[option_expiry_date]])</f>
        <v>42</v>
      </c>
      <c r="Q464">
        <f>Table1[[#This Row],[Column2]]/252</f>
        <v>0.16666666666666666</v>
      </c>
      <c r="R464" s="2" t="e">
        <f>IF(Table1[[#This Row],[CHECK2]]=0,NA(),
-(1/Table1[[#This Row],[T]])*LN((Table1[[#This Row],[S0]]-Table1[[#This Row],[C]]+Table1[[#This Row],[P]])/Table1[[#This Row],[K]])
)</f>
        <v>#N/A</v>
      </c>
    </row>
    <row r="465" spans="1:18">
      <c r="A465">
        <v>1</v>
      </c>
      <c r="B465" t="s">
        <v>10</v>
      </c>
      <c r="C465" s="1">
        <v>46142</v>
      </c>
      <c r="D465" t="s">
        <v>15</v>
      </c>
      <c r="E465">
        <v>70</v>
      </c>
      <c r="F465" t="s">
        <v>12</v>
      </c>
      <c r="G465" t="s">
        <v>13</v>
      </c>
      <c r="H465" s="1">
        <v>46199</v>
      </c>
      <c r="I465">
        <v>0</v>
      </c>
      <c r="J465">
        <v>2.4</v>
      </c>
      <c r="K465">
        <v>0</v>
      </c>
      <c r="L465">
        <v>475</v>
      </c>
      <c r="M465">
        <v>46.218559854124301</v>
      </c>
      <c r="N465">
        <v>1.93</v>
      </c>
      <c r="O465">
        <f>(Table1[[#This Row],[P]]&lt;&gt;0)*(Table1[[#This Row],[C]]&lt;&gt;0)</f>
        <v>0</v>
      </c>
      <c r="P465">
        <f>NETWORKDAYS(Table1[[#This Row],[ts_event]],Table1[[#This Row],[option_expiry_date]])</f>
        <v>42</v>
      </c>
      <c r="Q465">
        <f>Table1[[#This Row],[Column2]]/252</f>
        <v>0.16666666666666666</v>
      </c>
      <c r="R465" s="2" t="e">
        <f>IF(Table1[[#This Row],[CHECK2]]=0,NA(),
-(1/Table1[[#This Row],[T]])*LN((Table1[[#This Row],[S0]]-Table1[[#This Row],[C]]+Table1[[#This Row],[P]])/Table1[[#This Row],[K]])
)</f>
        <v>#N/A</v>
      </c>
    </row>
    <row r="466" spans="1:18">
      <c r="A466">
        <v>1</v>
      </c>
      <c r="B466" t="s">
        <v>10</v>
      </c>
      <c r="C466" s="1">
        <v>46142</v>
      </c>
      <c r="D466" t="s">
        <v>16</v>
      </c>
      <c r="E466">
        <v>30</v>
      </c>
      <c r="F466" t="s">
        <v>12</v>
      </c>
      <c r="G466" t="s">
        <v>13</v>
      </c>
      <c r="H466" s="1">
        <v>46230</v>
      </c>
      <c r="I466">
        <v>0.47499999999999998</v>
      </c>
      <c r="J466">
        <v>0</v>
      </c>
      <c r="K466">
        <v>1475</v>
      </c>
      <c r="L466">
        <v>0</v>
      </c>
      <c r="M466">
        <v>46.441710067114002</v>
      </c>
      <c r="N466">
        <v>1.93</v>
      </c>
      <c r="O466">
        <f>(Table1[[#This Row],[P]]&lt;&gt;0)*(Table1[[#This Row],[C]]&lt;&gt;0)</f>
        <v>0</v>
      </c>
      <c r="P466">
        <f>NETWORKDAYS(Table1[[#This Row],[ts_event]],Table1[[#This Row],[option_expiry_date]])</f>
        <v>63</v>
      </c>
      <c r="Q466">
        <f>Table1[[#This Row],[Column2]]/252</f>
        <v>0.25</v>
      </c>
      <c r="R466" s="2" t="e">
        <f>IF(Table1[[#This Row],[CHECK2]]=0,NA(),
-(1/Table1[[#This Row],[T]])*LN((Table1[[#This Row],[S0]]-Table1[[#This Row],[C]]+Table1[[#This Row],[P]])/Table1[[#This Row],[K]])
)</f>
        <v>#N/A</v>
      </c>
    </row>
    <row r="467" spans="1:18">
      <c r="A467">
        <v>2</v>
      </c>
      <c r="B467" t="s">
        <v>10</v>
      </c>
      <c r="C467" s="1">
        <v>46142</v>
      </c>
      <c r="D467" t="s">
        <v>16</v>
      </c>
      <c r="E467">
        <v>33</v>
      </c>
      <c r="F467" t="s">
        <v>12</v>
      </c>
      <c r="G467" t="s">
        <v>13</v>
      </c>
      <c r="H467" s="1">
        <v>46230</v>
      </c>
      <c r="I467">
        <v>0.952317073170731</v>
      </c>
      <c r="J467">
        <v>0</v>
      </c>
      <c r="K467">
        <v>205</v>
      </c>
      <c r="L467">
        <v>0</v>
      </c>
      <c r="M467">
        <v>46.441710067114002</v>
      </c>
      <c r="N467">
        <v>1.93</v>
      </c>
      <c r="O467">
        <f>(Table1[[#This Row],[P]]&lt;&gt;0)*(Table1[[#This Row],[C]]&lt;&gt;0)</f>
        <v>0</v>
      </c>
      <c r="P467">
        <f>NETWORKDAYS(Table1[[#This Row],[ts_event]],Table1[[#This Row],[option_expiry_date]])</f>
        <v>63</v>
      </c>
      <c r="Q467">
        <f>Table1[[#This Row],[Column2]]/252</f>
        <v>0.25</v>
      </c>
      <c r="R467" s="2" t="e">
        <f>IF(Table1[[#This Row],[CHECK2]]=0,NA(),
-(1/Table1[[#This Row],[T]])*LN((Table1[[#This Row],[S0]]-Table1[[#This Row],[C]]+Table1[[#This Row],[P]])/Table1[[#This Row],[K]])
)</f>
        <v>#N/A</v>
      </c>
    </row>
    <row r="468" spans="1:18">
      <c r="A468">
        <v>1</v>
      </c>
      <c r="B468" t="s">
        <v>10</v>
      </c>
      <c r="C468" s="1">
        <v>46142</v>
      </c>
      <c r="D468" t="s">
        <v>16</v>
      </c>
      <c r="E468">
        <v>45</v>
      </c>
      <c r="F468" t="s">
        <v>12</v>
      </c>
      <c r="G468" t="s">
        <v>13</v>
      </c>
      <c r="H468" s="1">
        <v>46230</v>
      </c>
      <c r="I468">
        <v>0</v>
      </c>
      <c r="J468">
        <v>8.02</v>
      </c>
      <c r="K468">
        <v>0</v>
      </c>
      <c r="L468">
        <v>750</v>
      </c>
      <c r="M468">
        <v>46.441710067114002</v>
      </c>
      <c r="N468">
        <v>1.93</v>
      </c>
      <c r="O468">
        <f>(Table1[[#This Row],[P]]&lt;&gt;0)*(Table1[[#This Row],[C]]&lt;&gt;0)</f>
        <v>0</v>
      </c>
      <c r="P468">
        <f>NETWORKDAYS(Table1[[#This Row],[ts_event]],Table1[[#This Row],[option_expiry_date]])</f>
        <v>63</v>
      </c>
      <c r="Q468">
        <f>Table1[[#This Row],[Column2]]/252</f>
        <v>0.25</v>
      </c>
      <c r="R468" s="2" t="e">
        <f>IF(Table1[[#This Row],[CHECK2]]=0,NA(),
-(1/Table1[[#This Row],[T]])*LN((Table1[[#This Row],[S0]]-Table1[[#This Row],[C]]+Table1[[#This Row],[P]])/Table1[[#This Row],[K]])
)</f>
        <v>#N/A</v>
      </c>
    </row>
    <row r="469" spans="1:18">
      <c r="A469">
        <v>1</v>
      </c>
      <c r="B469" t="s">
        <v>10</v>
      </c>
      <c r="C469" s="1">
        <v>46142</v>
      </c>
      <c r="D469" t="s">
        <v>16</v>
      </c>
      <c r="E469">
        <v>50</v>
      </c>
      <c r="F469" t="s">
        <v>12</v>
      </c>
      <c r="G469" t="s">
        <v>13</v>
      </c>
      <c r="H469" s="1">
        <v>46230</v>
      </c>
      <c r="I469">
        <v>0</v>
      </c>
      <c r="J469">
        <v>6.7</v>
      </c>
      <c r="K469">
        <v>0</v>
      </c>
      <c r="L469">
        <v>405</v>
      </c>
      <c r="M469">
        <v>46.441710067114002</v>
      </c>
      <c r="N469">
        <v>1.93</v>
      </c>
      <c r="O469">
        <f>(Table1[[#This Row],[P]]&lt;&gt;0)*(Table1[[#This Row],[C]]&lt;&gt;0)</f>
        <v>0</v>
      </c>
      <c r="P469">
        <f>NETWORKDAYS(Table1[[#This Row],[ts_event]],Table1[[#This Row],[option_expiry_date]])</f>
        <v>63</v>
      </c>
      <c r="Q469">
        <f>Table1[[#This Row],[Column2]]/252</f>
        <v>0.25</v>
      </c>
      <c r="R469" s="2" t="e">
        <f>IF(Table1[[#This Row],[CHECK2]]=0,NA(),
-(1/Table1[[#This Row],[T]])*LN((Table1[[#This Row],[S0]]-Table1[[#This Row],[C]]+Table1[[#This Row],[P]])/Table1[[#This Row],[K]])
)</f>
        <v>#N/A</v>
      </c>
    </row>
    <row r="470" spans="1:18">
      <c r="A470">
        <v>1</v>
      </c>
      <c r="B470" t="s">
        <v>10</v>
      </c>
      <c r="C470" s="1">
        <v>46142</v>
      </c>
      <c r="D470" t="s">
        <v>16</v>
      </c>
      <c r="E470">
        <v>55</v>
      </c>
      <c r="F470" t="s">
        <v>12</v>
      </c>
      <c r="G470" t="s">
        <v>13</v>
      </c>
      <c r="H470" s="1">
        <v>46230</v>
      </c>
      <c r="I470">
        <v>0</v>
      </c>
      <c r="J470">
        <v>4.9249999999999998</v>
      </c>
      <c r="K470">
        <v>0</v>
      </c>
      <c r="L470">
        <v>900</v>
      </c>
      <c r="M470">
        <v>46.441710067114002</v>
      </c>
      <c r="N470">
        <v>1.93</v>
      </c>
      <c r="O470">
        <f>(Table1[[#This Row],[P]]&lt;&gt;0)*(Table1[[#This Row],[C]]&lt;&gt;0)</f>
        <v>0</v>
      </c>
      <c r="P470">
        <f>NETWORKDAYS(Table1[[#This Row],[ts_event]],Table1[[#This Row],[option_expiry_date]])</f>
        <v>63</v>
      </c>
      <c r="Q470">
        <f>Table1[[#This Row],[Column2]]/252</f>
        <v>0.25</v>
      </c>
      <c r="R470" s="2" t="e">
        <f>IF(Table1[[#This Row],[CHECK2]]=0,NA(),
-(1/Table1[[#This Row],[T]])*LN((Table1[[#This Row],[S0]]-Table1[[#This Row],[C]]+Table1[[#This Row],[P]])/Table1[[#This Row],[K]])
)</f>
        <v>#N/A</v>
      </c>
    </row>
    <row r="471" spans="1:18">
      <c r="A471">
        <v>1</v>
      </c>
      <c r="B471" t="s">
        <v>10</v>
      </c>
      <c r="C471" s="1">
        <v>46142</v>
      </c>
      <c r="D471" t="s">
        <v>16</v>
      </c>
      <c r="E471">
        <v>90</v>
      </c>
      <c r="F471" t="s">
        <v>12</v>
      </c>
      <c r="G471" t="s">
        <v>13</v>
      </c>
      <c r="H471" s="1">
        <v>46230</v>
      </c>
      <c r="I471">
        <v>0</v>
      </c>
      <c r="J471">
        <v>1.88</v>
      </c>
      <c r="K471">
        <v>0</v>
      </c>
      <c r="L471">
        <v>50</v>
      </c>
      <c r="M471">
        <v>46.441710067114002</v>
      </c>
      <c r="N471">
        <v>1.93</v>
      </c>
      <c r="O471">
        <f>(Table1[[#This Row],[P]]&lt;&gt;0)*(Table1[[#This Row],[C]]&lt;&gt;0)</f>
        <v>0</v>
      </c>
      <c r="P471">
        <f>NETWORKDAYS(Table1[[#This Row],[ts_event]],Table1[[#This Row],[option_expiry_date]])</f>
        <v>63</v>
      </c>
      <c r="Q471">
        <f>Table1[[#This Row],[Column2]]/252</f>
        <v>0.25</v>
      </c>
      <c r="R471" s="2" t="e">
        <f>IF(Table1[[#This Row],[CHECK2]]=0,NA(),
-(1/Table1[[#This Row],[T]])*LN((Table1[[#This Row],[S0]]-Table1[[#This Row],[C]]+Table1[[#This Row],[P]])/Table1[[#This Row],[K]])
)</f>
        <v>#N/A</v>
      </c>
    </row>
    <row r="472" spans="1:18">
      <c r="A472">
        <v>1</v>
      </c>
      <c r="B472" t="s">
        <v>10</v>
      </c>
      <c r="C472" s="1">
        <v>46142</v>
      </c>
      <c r="D472" t="s">
        <v>16</v>
      </c>
      <c r="E472">
        <v>100</v>
      </c>
      <c r="F472" t="s">
        <v>12</v>
      </c>
      <c r="G472" t="s">
        <v>13</v>
      </c>
      <c r="H472" s="1">
        <v>46230</v>
      </c>
      <c r="I472">
        <v>0</v>
      </c>
      <c r="J472">
        <v>1.47</v>
      </c>
      <c r="K472">
        <v>0</v>
      </c>
      <c r="L472">
        <v>100</v>
      </c>
      <c r="M472">
        <v>46.441710067114002</v>
      </c>
      <c r="N472">
        <v>1.93</v>
      </c>
      <c r="O472">
        <f>(Table1[[#This Row],[P]]&lt;&gt;0)*(Table1[[#This Row],[C]]&lt;&gt;0)</f>
        <v>0</v>
      </c>
      <c r="P472">
        <f>NETWORKDAYS(Table1[[#This Row],[ts_event]],Table1[[#This Row],[option_expiry_date]])</f>
        <v>63</v>
      </c>
      <c r="Q472">
        <f>Table1[[#This Row],[Column2]]/252</f>
        <v>0.25</v>
      </c>
      <c r="R472" s="2" t="e">
        <f>IF(Table1[[#This Row],[CHECK2]]=0,NA(),
-(1/Table1[[#This Row],[T]])*LN((Table1[[#This Row],[S0]]-Table1[[#This Row],[C]]+Table1[[#This Row],[P]])/Table1[[#This Row],[K]])
)</f>
        <v>#N/A</v>
      </c>
    </row>
    <row r="473" spans="1:18">
      <c r="A473">
        <v>1</v>
      </c>
      <c r="B473" t="s">
        <v>10</v>
      </c>
      <c r="C473" s="1">
        <v>46142</v>
      </c>
      <c r="D473" t="s">
        <v>20</v>
      </c>
      <c r="E473">
        <v>50</v>
      </c>
      <c r="F473" t="s">
        <v>12</v>
      </c>
      <c r="G473" t="s">
        <v>13</v>
      </c>
      <c r="H473" s="1">
        <v>46352</v>
      </c>
      <c r="I473">
        <v>0</v>
      </c>
      <c r="J473">
        <v>9.3249999999999993</v>
      </c>
      <c r="K473">
        <v>0</v>
      </c>
      <c r="L473">
        <v>50</v>
      </c>
      <c r="M473">
        <v>45.909564576634502</v>
      </c>
      <c r="N473">
        <v>1.93</v>
      </c>
      <c r="O473">
        <f>(Table1[[#This Row],[P]]&lt;&gt;0)*(Table1[[#This Row],[C]]&lt;&gt;0)</f>
        <v>0</v>
      </c>
      <c r="P473">
        <f>NETWORKDAYS(Table1[[#This Row],[ts_event]],Table1[[#This Row],[option_expiry_date]])</f>
        <v>151</v>
      </c>
      <c r="Q473">
        <f>Table1[[#This Row],[Column2]]/252</f>
        <v>0.59920634920634919</v>
      </c>
      <c r="R473" s="2" t="e">
        <f>IF(Table1[[#This Row],[CHECK2]]=0,NA(),
-(1/Table1[[#This Row],[T]])*LN((Table1[[#This Row],[S0]]-Table1[[#This Row],[C]]+Table1[[#This Row],[P]])/Table1[[#This Row],[K]])
)</f>
        <v>#N/A</v>
      </c>
    </row>
    <row r="474" spans="1:18">
      <c r="A474">
        <v>1</v>
      </c>
      <c r="B474" t="s">
        <v>10</v>
      </c>
      <c r="C474" s="1">
        <v>46142</v>
      </c>
      <c r="D474" t="s">
        <v>20</v>
      </c>
      <c r="E474">
        <v>60</v>
      </c>
      <c r="F474" t="s">
        <v>12</v>
      </c>
      <c r="G474" t="s">
        <v>13</v>
      </c>
      <c r="H474" s="1">
        <v>46352</v>
      </c>
      <c r="I474">
        <v>0</v>
      </c>
      <c r="J474">
        <v>6.6</v>
      </c>
      <c r="K474">
        <v>0</v>
      </c>
      <c r="L474">
        <v>350</v>
      </c>
      <c r="M474">
        <v>45.909564576634502</v>
      </c>
      <c r="N474">
        <v>1.93</v>
      </c>
      <c r="O474">
        <f>(Table1[[#This Row],[P]]&lt;&gt;0)*(Table1[[#This Row],[C]]&lt;&gt;0)</f>
        <v>0</v>
      </c>
      <c r="P474">
        <f>NETWORKDAYS(Table1[[#This Row],[ts_event]],Table1[[#This Row],[option_expiry_date]])</f>
        <v>151</v>
      </c>
      <c r="Q474">
        <f>Table1[[#This Row],[Column2]]/252</f>
        <v>0.59920634920634919</v>
      </c>
      <c r="R474" s="2" t="e">
        <f>IF(Table1[[#This Row],[CHECK2]]=0,NA(),
-(1/Table1[[#This Row],[T]])*LN((Table1[[#This Row],[S0]]-Table1[[#This Row],[C]]+Table1[[#This Row],[P]])/Table1[[#This Row],[K]])
)</f>
        <v>#N/A</v>
      </c>
    </row>
    <row r="475" spans="1:18">
      <c r="A475">
        <v>1</v>
      </c>
      <c r="B475" t="s">
        <v>10</v>
      </c>
      <c r="C475" s="1">
        <v>46142</v>
      </c>
      <c r="D475" t="s">
        <v>20</v>
      </c>
      <c r="E475">
        <v>80</v>
      </c>
      <c r="F475" t="s">
        <v>12</v>
      </c>
      <c r="G475" t="s">
        <v>13</v>
      </c>
      <c r="H475" s="1">
        <v>46352</v>
      </c>
      <c r="I475">
        <v>0</v>
      </c>
      <c r="J475">
        <v>4.3499999999999996</v>
      </c>
      <c r="K475">
        <v>0</v>
      </c>
      <c r="L475">
        <v>300</v>
      </c>
      <c r="M475">
        <v>45.909564576634502</v>
      </c>
      <c r="N475">
        <v>1.93</v>
      </c>
      <c r="O475">
        <f>(Table1[[#This Row],[P]]&lt;&gt;0)*(Table1[[#This Row],[C]]&lt;&gt;0)</f>
        <v>0</v>
      </c>
      <c r="P475">
        <f>NETWORKDAYS(Table1[[#This Row],[ts_event]],Table1[[#This Row],[option_expiry_date]])</f>
        <v>151</v>
      </c>
      <c r="Q475">
        <f>Table1[[#This Row],[Column2]]/252</f>
        <v>0.59920634920634919</v>
      </c>
      <c r="R475" s="2" t="e">
        <f>IF(Table1[[#This Row],[CHECK2]]=0,NA(),
-(1/Table1[[#This Row],[T]])*LN((Table1[[#This Row],[S0]]-Table1[[#This Row],[C]]+Table1[[#This Row],[P]])/Table1[[#This Row],[K]])
)</f>
        <v>#N/A</v>
      </c>
    </row>
    <row r="476" spans="1:18">
      <c r="A476">
        <v>1</v>
      </c>
      <c r="B476" t="s">
        <v>10</v>
      </c>
      <c r="C476" s="1">
        <v>46142</v>
      </c>
      <c r="D476" t="s">
        <v>22</v>
      </c>
      <c r="E476">
        <v>35</v>
      </c>
      <c r="F476" t="s">
        <v>12</v>
      </c>
      <c r="G476" t="s">
        <v>13</v>
      </c>
      <c r="H476" s="1">
        <v>46442</v>
      </c>
      <c r="I476">
        <v>5.2</v>
      </c>
      <c r="J476">
        <v>0</v>
      </c>
      <c r="K476">
        <v>250</v>
      </c>
      <c r="L476">
        <v>0</v>
      </c>
      <c r="M476">
        <v>44.65</v>
      </c>
      <c r="N476">
        <v>1.93</v>
      </c>
      <c r="O476">
        <f>(Table1[[#This Row],[P]]&lt;&gt;0)*(Table1[[#This Row],[C]]&lt;&gt;0)</f>
        <v>0</v>
      </c>
      <c r="P476">
        <f>NETWORKDAYS(Table1[[#This Row],[ts_event]],Table1[[#This Row],[option_expiry_date]])</f>
        <v>215</v>
      </c>
      <c r="Q476">
        <f>Table1[[#This Row],[Column2]]/252</f>
        <v>0.85317460317460314</v>
      </c>
      <c r="R476" s="2" t="e">
        <f>IF(Table1[[#This Row],[CHECK2]]=0,NA(),
-(1/Table1[[#This Row],[T]])*LN((Table1[[#This Row],[S0]]-Table1[[#This Row],[C]]+Table1[[#This Row],[P]])/Table1[[#This Row],[K]])
)</f>
        <v>#N/A</v>
      </c>
    </row>
    <row r="477" spans="1:18">
      <c r="A477">
        <v>1</v>
      </c>
      <c r="B477" t="s">
        <v>10</v>
      </c>
      <c r="C477" s="1">
        <v>46142</v>
      </c>
      <c r="D477" t="s">
        <v>22</v>
      </c>
      <c r="E477">
        <v>75</v>
      </c>
      <c r="F477" t="s">
        <v>12</v>
      </c>
      <c r="G477" t="s">
        <v>13</v>
      </c>
      <c r="H477" s="1">
        <v>46442</v>
      </c>
      <c r="I477">
        <v>0</v>
      </c>
      <c r="J477">
        <v>6.65</v>
      </c>
      <c r="K477">
        <v>0</v>
      </c>
      <c r="L477">
        <v>100</v>
      </c>
      <c r="M477">
        <v>44.65</v>
      </c>
      <c r="N477">
        <v>1.93</v>
      </c>
      <c r="O477">
        <f>(Table1[[#This Row],[P]]&lt;&gt;0)*(Table1[[#This Row],[C]]&lt;&gt;0)</f>
        <v>0</v>
      </c>
      <c r="P477">
        <f>NETWORKDAYS(Table1[[#This Row],[ts_event]],Table1[[#This Row],[option_expiry_date]])</f>
        <v>215</v>
      </c>
      <c r="Q477">
        <f>Table1[[#This Row],[Column2]]/252</f>
        <v>0.85317460317460314</v>
      </c>
      <c r="R477" s="2" t="e">
        <f>IF(Table1[[#This Row],[CHECK2]]=0,NA(),
-(1/Table1[[#This Row],[T]])*LN((Table1[[#This Row],[S0]]-Table1[[#This Row],[C]]+Table1[[#This Row],[P]])/Table1[[#This Row],[K]])
)</f>
        <v>#N/A</v>
      </c>
    </row>
    <row r="478" spans="1:18">
      <c r="A478">
        <v>1</v>
      </c>
      <c r="B478" t="s">
        <v>10</v>
      </c>
      <c r="C478" s="1">
        <v>46143</v>
      </c>
      <c r="D478" t="s">
        <v>14</v>
      </c>
      <c r="E478">
        <v>31</v>
      </c>
      <c r="F478" t="s">
        <v>12</v>
      </c>
      <c r="G478" t="s">
        <v>13</v>
      </c>
      <c r="H478" s="1">
        <v>46169</v>
      </c>
      <c r="I478">
        <v>0.125</v>
      </c>
      <c r="J478">
        <v>0</v>
      </c>
      <c r="K478">
        <v>5</v>
      </c>
      <c r="L478">
        <v>0</v>
      </c>
      <c r="M478">
        <v>45.612241688632501</v>
      </c>
      <c r="O478">
        <f>(Table1[[#This Row],[P]]&lt;&gt;0)*(Table1[[#This Row],[C]]&lt;&gt;0)</f>
        <v>0</v>
      </c>
      <c r="P478">
        <f>NETWORKDAYS(Table1[[#This Row],[ts_event]],Table1[[#This Row],[option_expiry_date]])</f>
        <v>19</v>
      </c>
      <c r="Q478">
        <f>Table1[[#This Row],[Column2]]/252</f>
        <v>7.5396825396825393E-2</v>
      </c>
      <c r="R478" s="2" t="e">
        <f>IF(Table1[[#This Row],[CHECK2]]=0,NA(),
-(1/Table1[[#This Row],[T]])*LN((Table1[[#This Row],[S0]]-Table1[[#This Row],[C]]+Table1[[#This Row],[P]])/Table1[[#This Row],[K]])
)</f>
        <v>#N/A</v>
      </c>
    </row>
    <row r="479" spans="1:18">
      <c r="A479">
        <v>1</v>
      </c>
      <c r="B479" t="s">
        <v>10</v>
      </c>
      <c r="C479" s="1">
        <v>46143</v>
      </c>
      <c r="D479" t="s">
        <v>14</v>
      </c>
      <c r="E479">
        <v>33</v>
      </c>
      <c r="F479" t="s">
        <v>12</v>
      </c>
      <c r="G479" t="s">
        <v>13</v>
      </c>
      <c r="H479" s="1">
        <v>46169</v>
      </c>
      <c r="I479">
        <v>0.17499999999999999</v>
      </c>
      <c r="J479">
        <v>0</v>
      </c>
      <c r="K479">
        <v>300</v>
      </c>
      <c r="L479">
        <v>0</v>
      </c>
      <c r="M479">
        <v>45.612241688632501</v>
      </c>
      <c r="O479">
        <f>(Table1[[#This Row],[P]]&lt;&gt;0)*(Table1[[#This Row],[C]]&lt;&gt;0)</f>
        <v>0</v>
      </c>
      <c r="P479">
        <f>NETWORKDAYS(Table1[[#This Row],[ts_event]],Table1[[#This Row],[option_expiry_date]])</f>
        <v>19</v>
      </c>
      <c r="Q479">
        <f>Table1[[#This Row],[Column2]]/252</f>
        <v>7.5396825396825393E-2</v>
      </c>
      <c r="R479" s="2" t="e">
        <f>IF(Table1[[#This Row],[CHECK2]]=0,NA(),
-(1/Table1[[#This Row],[T]])*LN((Table1[[#This Row],[S0]]-Table1[[#This Row],[C]]+Table1[[#This Row],[P]])/Table1[[#This Row],[K]])
)</f>
        <v>#N/A</v>
      </c>
    </row>
    <row r="480" spans="1:18">
      <c r="A480">
        <v>2</v>
      </c>
      <c r="B480" t="s">
        <v>10</v>
      </c>
      <c r="C480" s="1">
        <v>46143</v>
      </c>
      <c r="D480" t="s">
        <v>14</v>
      </c>
      <c r="E480">
        <v>35</v>
      </c>
      <c r="F480" t="s">
        <v>12</v>
      </c>
      <c r="G480" t="s">
        <v>13</v>
      </c>
      <c r="H480" s="1">
        <v>46169</v>
      </c>
      <c r="I480">
        <v>0.36431535269709497</v>
      </c>
      <c r="J480">
        <v>0</v>
      </c>
      <c r="K480">
        <v>1205</v>
      </c>
      <c r="L480">
        <v>0</v>
      </c>
      <c r="M480">
        <v>45.612241688632501</v>
      </c>
      <c r="O480">
        <f>(Table1[[#This Row],[P]]&lt;&gt;0)*(Table1[[#This Row],[C]]&lt;&gt;0)</f>
        <v>0</v>
      </c>
      <c r="P480">
        <f>NETWORKDAYS(Table1[[#This Row],[ts_event]],Table1[[#This Row],[option_expiry_date]])</f>
        <v>19</v>
      </c>
      <c r="Q480">
        <f>Table1[[#This Row],[Column2]]/252</f>
        <v>7.5396825396825393E-2</v>
      </c>
      <c r="R480" s="2" t="e">
        <f>IF(Table1[[#This Row],[CHECK2]]=0,NA(),
-(1/Table1[[#This Row],[T]])*LN((Table1[[#This Row],[S0]]-Table1[[#This Row],[C]]+Table1[[#This Row],[P]])/Table1[[#This Row],[K]])
)</f>
        <v>#N/A</v>
      </c>
    </row>
    <row r="481" spans="1:18">
      <c r="A481">
        <v>1</v>
      </c>
      <c r="B481" t="s">
        <v>10</v>
      </c>
      <c r="C481" s="1">
        <v>46143</v>
      </c>
      <c r="D481" t="s">
        <v>14</v>
      </c>
      <c r="E481">
        <v>36</v>
      </c>
      <c r="F481" t="s">
        <v>12</v>
      </c>
      <c r="G481" t="s">
        <v>13</v>
      </c>
      <c r="H481" s="1">
        <v>46169</v>
      </c>
      <c r="I481">
        <v>0.47499999999999998</v>
      </c>
      <c r="J481">
        <v>0</v>
      </c>
      <c r="K481">
        <v>1050</v>
      </c>
      <c r="L481">
        <v>0</v>
      </c>
      <c r="M481">
        <v>45.612241688632501</v>
      </c>
      <c r="O481">
        <f>(Table1[[#This Row],[P]]&lt;&gt;0)*(Table1[[#This Row],[C]]&lt;&gt;0)</f>
        <v>0</v>
      </c>
      <c r="P481">
        <f>NETWORKDAYS(Table1[[#This Row],[ts_event]],Table1[[#This Row],[option_expiry_date]])</f>
        <v>19</v>
      </c>
      <c r="Q481">
        <f>Table1[[#This Row],[Column2]]/252</f>
        <v>7.5396825396825393E-2</v>
      </c>
      <c r="R481" s="2" t="e">
        <f>IF(Table1[[#This Row],[CHECK2]]=0,NA(),
-(1/Table1[[#This Row],[T]])*LN((Table1[[#This Row],[S0]]-Table1[[#This Row],[C]]+Table1[[#This Row],[P]])/Table1[[#This Row],[K]])
)</f>
        <v>#N/A</v>
      </c>
    </row>
    <row r="482" spans="1:18">
      <c r="A482">
        <v>1</v>
      </c>
      <c r="B482" t="s">
        <v>10</v>
      </c>
      <c r="C482" s="1">
        <v>46143</v>
      </c>
      <c r="D482" t="s">
        <v>14</v>
      </c>
      <c r="E482">
        <v>37</v>
      </c>
      <c r="F482" t="s">
        <v>12</v>
      </c>
      <c r="G482" t="s">
        <v>13</v>
      </c>
      <c r="H482" s="1">
        <v>46169</v>
      </c>
      <c r="I482">
        <v>0.53</v>
      </c>
      <c r="J482">
        <v>0</v>
      </c>
      <c r="K482">
        <v>100</v>
      </c>
      <c r="L482">
        <v>0</v>
      </c>
      <c r="M482">
        <v>45.612241688632501</v>
      </c>
      <c r="O482">
        <f>(Table1[[#This Row],[P]]&lt;&gt;0)*(Table1[[#This Row],[C]]&lt;&gt;0)</f>
        <v>0</v>
      </c>
      <c r="P482">
        <f>NETWORKDAYS(Table1[[#This Row],[ts_event]],Table1[[#This Row],[option_expiry_date]])</f>
        <v>19</v>
      </c>
      <c r="Q482">
        <f>Table1[[#This Row],[Column2]]/252</f>
        <v>7.5396825396825393E-2</v>
      </c>
      <c r="R482" s="2" t="e">
        <f>IF(Table1[[#This Row],[CHECK2]]=0,NA(),
-(1/Table1[[#This Row],[T]])*LN((Table1[[#This Row],[S0]]-Table1[[#This Row],[C]]+Table1[[#This Row],[P]])/Table1[[#This Row],[K]])
)</f>
        <v>#N/A</v>
      </c>
    </row>
    <row r="483" spans="1:18">
      <c r="A483">
        <v>1</v>
      </c>
      <c r="B483" t="s">
        <v>10</v>
      </c>
      <c r="C483" s="1">
        <v>46143</v>
      </c>
      <c r="D483" t="s">
        <v>14</v>
      </c>
      <c r="E483">
        <v>39</v>
      </c>
      <c r="F483" t="s">
        <v>12</v>
      </c>
      <c r="G483" t="s">
        <v>13</v>
      </c>
      <c r="H483" s="1">
        <v>46169</v>
      </c>
      <c r="I483">
        <v>1.125</v>
      </c>
      <c r="J483">
        <v>0</v>
      </c>
      <c r="K483">
        <v>50</v>
      </c>
      <c r="L483">
        <v>0</v>
      </c>
      <c r="M483">
        <v>45.612241688632501</v>
      </c>
      <c r="O483">
        <f>(Table1[[#This Row],[P]]&lt;&gt;0)*(Table1[[#This Row],[C]]&lt;&gt;0)</f>
        <v>0</v>
      </c>
      <c r="P483">
        <f>NETWORKDAYS(Table1[[#This Row],[ts_event]],Table1[[#This Row],[option_expiry_date]])</f>
        <v>19</v>
      </c>
      <c r="Q483">
        <f>Table1[[#This Row],[Column2]]/252</f>
        <v>7.5396825396825393E-2</v>
      </c>
      <c r="R483" s="2" t="e">
        <f>IF(Table1[[#This Row],[CHECK2]]=0,NA(),
-(1/Table1[[#This Row],[T]])*LN((Table1[[#This Row],[S0]]-Table1[[#This Row],[C]]+Table1[[#This Row],[P]])/Table1[[#This Row],[K]])
)</f>
        <v>#N/A</v>
      </c>
    </row>
    <row r="484" spans="1:18">
      <c r="A484">
        <v>2</v>
      </c>
      <c r="B484" t="s">
        <v>10</v>
      </c>
      <c r="C484" s="1">
        <v>46143</v>
      </c>
      <c r="D484" t="s">
        <v>14</v>
      </c>
      <c r="E484">
        <v>40</v>
      </c>
      <c r="F484" t="s">
        <v>12</v>
      </c>
      <c r="G484" t="s">
        <v>13</v>
      </c>
      <c r="H484" s="1">
        <v>46169</v>
      </c>
      <c r="I484">
        <v>1.50527272727272</v>
      </c>
      <c r="J484">
        <v>0</v>
      </c>
      <c r="K484">
        <v>2750</v>
      </c>
      <c r="L484">
        <v>0</v>
      </c>
      <c r="M484">
        <v>45.612241688632501</v>
      </c>
      <c r="O484">
        <f>(Table1[[#This Row],[P]]&lt;&gt;0)*(Table1[[#This Row],[C]]&lt;&gt;0)</f>
        <v>0</v>
      </c>
      <c r="P484">
        <f>NETWORKDAYS(Table1[[#This Row],[ts_event]],Table1[[#This Row],[option_expiry_date]])</f>
        <v>19</v>
      </c>
      <c r="Q484">
        <f>Table1[[#This Row],[Column2]]/252</f>
        <v>7.5396825396825393E-2</v>
      </c>
      <c r="R484" s="2" t="e">
        <f>IF(Table1[[#This Row],[CHECK2]]=0,NA(),
-(1/Table1[[#This Row],[T]])*LN((Table1[[#This Row],[S0]]-Table1[[#This Row],[C]]+Table1[[#This Row],[P]])/Table1[[#This Row],[K]])
)</f>
        <v>#N/A</v>
      </c>
    </row>
    <row r="485" spans="1:18">
      <c r="A485">
        <v>1</v>
      </c>
      <c r="B485" t="s">
        <v>10</v>
      </c>
      <c r="C485" s="1">
        <v>46143</v>
      </c>
      <c r="D485" t="s">
        <v>14</v>
      </c>
      <c r="E485">
        <v>41</v>
      </c>
      <c r="F485" t="s">
        <v>12</v>
      </c>
      <c r="G485" t="s">
        <v>13</v>
      </c>
      <c r="H485" s="1">
        <v>46169</v>
      </c>
      <c r="I485">
        <v>1.5</v>
      </c>
      <c r="J485">
        <v>0</v>
      </c>
      <c r="K485">
        <v>1400</v>
      </c>
      <c r="L485">
        <v>0</v>
      </c>
      <c r="M485">
        <v>45.612241688632501</v>
      </c>
      <c r="O485">
        <f>(Table1[[#This Row],[P]]&lt;&gt;0)*(Table1[[#This Row],[C]]&lt;&gt;0)</f>
        <v>0</v>
      </c>
      <c r="P485">
        <f>NETWORKDAYS(Table1[[#This Row],[ts_event]],Table1[[#This Row],[option_expiry_date]])</f>
        <v>19</v>
      </c>
      <c r="Q485">
        <f>Table1[[#This Row],[Column2]]/252</f>
        <v>7.5396825396825393E-2</v>
      </c>
      <c r="R485" s="2" t="e">
        <f>IF(Table1[[#This Row],[CHECK2]]=0,NA(),
-(1/Table1[[#This Row],[T]])*LN((Table1[[#This Row],[S0]]-Table1[[#This Row],[C]]+Table1[[#This Row],[P]])/Table1[[#This Row],[K]])
)</f>
        <v>#N/A</v>
      </c>
    </row>
    <row r="486" spans="1:18">
      <c r="A486">
        <v>1</v>
      </c>
      <c r="B486" t="s">
        <v>10</v>
      </c>
      <c r="C486" s="1">
        <v>46143</v>
      </c>
      <c r="D486" t="s">
        <v>14</v>
      </c>
      <c r="E486">
        <v>42</v>
      </c>
      <c r="F486" t="s">
        <v>12</v>
      </c>
      <c r="G486" t="s">
        <v>13</v>
      </c>
      <c r="H486" s="1">
        <v>46169</v>
      </c>
      <c r="I486">
        <v>2.2999999999999998</v>
      </c>
      <c r="J486">
        <v>0</v>
      </c>
      <c r="K486">
        <v>500</v>
      </c>
      <c r="L486">
        <v>0</v>
      </c>
      <c r="M486">
        <v>45.612241688632501</v>
      </c>
      <c r="O486">
        <f>(Table1[[#This Row],[P]]&lt;&gt;0)*(Table1[[#This Row],[C]]&lt;&gt;0)</f>
        <v>0</v>
      </c>
      <c r="P486">
        <f>NETWORKDAYS(Table1[[#This Row],[ts_event]],Table1[[#This Row],[option_expiry_date]])</f>
        <v>19</v>
      </c>
      <c r="Q486">
        <f>Table1[[#This Row],[Column2]]/252</f>
        <v>7.5396825396825393E-2</v>
      </c>
      <c r="R486" s="2" t="e">
        <f>IF(Table1[[#This Row],[CHECK2]]=0,NA(),
-(1/Table1[[#This Row],[T]])*LN((Table1[[#This Row],[S0]]-Table1[[#This Row],[C]]+Table1[[#This Row],[P]])/Table1[[#This Row],[K]])
)</f>
        <v>#N/A</v>
      </c>
    </row>
    <row r="487" spans="1:18">
      <c r="A487">
        <v>2</v>
      </c>
      <c r="B487" t="s">
        <v>10</v>
      </c>
      <c r="C487" s="1">
        <v>46143</v>
      </c>
      <c r="D487" t="s">
        <v>14</v>
      </c>
      <c r="E487">
        <v>43</v>
      </c>
      <c r="F487" t="s">
        <v>12</v>
      </c>
      <c r="G487" t="s">
        <v>13</v>
      </c>
      <c r="H487" s="1">
        <v>46169</v>
      </c>
      <c r="I487">
        <v>2.91</v>
      </c>
      <c r="J487">
        <v>5.95</v>
      </c>
      <c r="K487">
        <v>825</v>
      </c>
      <c r="L487">
        <v>500</v>
      </c>
      <c r="M487">
        <v>45.612241688632501</v>
      </c>
      <c r="O487">
        <f>(Table1[[#This Row],[P]]&lt;&gt;0)*(Table1[[#This Row],[C]]&lt;&gt;0)</f>
        <v>1</v>
      </c>
      <c r="P487">
        <f>NETWORKDAYS(Table1[[#This Row],[ts_event]],Table1[[#This Row],[option_expiry_date]])</f>
        <v>19</v>
      </c>
      <c r="Q487">
        <f>Table1[[#This Row],[Column2]]/252</f>
        <v>7.5396825396825393E-2</v>
      </c>
      <c r="R487" s="2">
        <f>IF(Table1[[#This Row],[CHECK2]]=0,NA(),
-(1/Table1[[#This Row],[T]])*LN((Table1[[#This Row],[S0]]-Table1[[#This Row],[C]]+Table1[[#This Row],[P]])/Table1[[#This Row],[K]])
)</f>
        <v>0.13260078663401584</v>
      </c>
    </row>
    <row r="488" spans="1:18">
      <c r="A488">
        <v>1</v>
      </c>
      <c r="B488" t="s">
        <v>10</v>
      </c>
      <c r="C488" s="1">
        <v>46143</v>
      </c>
      <c r="D488" t="s">
        <v>14</v>
      </c>
      <c r="E488">
        <v>44</v>
      </c>
      <c r="F488" t="s">
        <v>12</v>
      </c>
      <c r="G488" t="s">
        <v>13</v>
      </c>
      <c r="H488" s="1">
        <v>46169</v>
      </c>
      <c r="I488">
        <v>3.1749999999999998</v>
      </c>
      <c r="J488">
        <v>0</v>
      </c>
      <c r="K488">
        <v>350</v>
      </c>
      <c r="L488">
        <v>0</v>
      </c>
      <c r="M488">
        <v>45.612241688632501</v>
      </c>
      <c r="O488">
        <f>(Table1[[#This Row],[P]]&lt;&gt;0)*(Table1[[#This Row],[C]]&lt;&gt;0)</f>
        <v>0</v>
      </c>
      <c r="P488">
        <f>NETWORKDAYS(Table1[[#This Row],[ts_event]],Table1[[#This Row],[option_expiry_date]])</f>
        <v>19</v>
      </c>
      <c r="Q488">
        <f>Table1[[#This Row],[Column2]]/252</f>
        <v>7.5396825396825393E-2</v>
      </c>
      <c r="R488" s="2" t="e">
        <f>IF(Table1[[#This Row],[CHECK2]]=0,NA(),
-(1/Table1[[#This Row],[T]])*LN((Table1[[#This Row],[S0]]-Table1[[#This Row],[C]]+Table1[[#This Row],[P]])/Table1[[#This Row],[K]])
)</f>
        <v>#N/A</v>
      </c>
    </row>
    <row r="489" spans="1:18">
      <c r="A489">
        <v>3</v>
      </c>
      <c r="B489" t="s">
        <v>10</v>
      </c>
      <c r="C489" s="1">
        <v>46143</v>
      </c>
      <c r="D489" t="s">
        <v>14</v>
      </c>
      <c r="E489">
        <v>45</v>
      </c>
      <c r="F489" t="s">
        <v>12</v>
      </c>
      <c r="G489" t="s">
        <v>13</v>
      </c>
      <c r="H489" s="1">
        <v>46169</v>
      </c>
      <c r="I489">
        <v>3.35</v>
      </c>
      <c r="J489">
        <v>4.0455319148936102</v>
      </c>
      <c r="K489">
        <v>700</v>
      </c>
      <c r="L489">
        <v>1175</v>
      </c>
      <c r="M489">
        <v>45.612241688632501</v>
      </c>
      <c r="O489">
        <f>(Table1[[#This Row],[P]]&lt;&gt;0)*(Table1[[#This Row],[C]]&lt;&gt;0)</f>
        <v>1</v>
      </c>
      <c r="P489">
        <f>NETWORKDAYS(Table1[[#This Row],[ts_event]],Table1[[#This Row],[option_expiry_date]])</f>
        <v>19</v>
      </c>
      <c r="Q489">
        <f>Table1[[#This Row],[Column2]]/252</f>
        <v>7.5396825396825393E-2</v>
      </c>
      <c r="R489" s="2">
        <f>IF(Table1[[#This Row],[CHECK2]]=0,NA(),
-(1/Table1[[#This Row],[T]])*LN((Table1[[#This Row],[S0]]-Table1[[#This Row],[C]]+Table1[[#This Row],[P]])/Table1[[#This Row],[K]])
)</f>
        <v>2.4571444856593599E-2</v>
      </c>
    </row>
    <row r="490" spans="1:18">
      <c r="A490">
        <v>2</v>
      </c>
      <c r="B490" t="s">
        <v>10</v>
      </c>
      <c r="C490" s="1">
        <v>46143</v>
      </c>
      <c r="D490" t="s">
        <v>14</v>
      </c>
      <c r="E490">
        <v>46</v>
      </c>
      <c r="F490" t="s">
        <v>12</v>
      </c>
      <c r="G490" t="s">
        <v>13</v>
      </c>
      <c r="H490" s="1">
        <v>46169</v>
      </c>
      <c r="I490">
        <v>3.95</v>
      </c>
      <c r="J490">
        <v>3.6749999999999998</v>
      </c>
      <c r="K490">
        <v>900</v>
      </c>
      <c r="L490">
        <v>50</v>
      </c>
      <c r="M490">
        <v>45.612241688632501</v>
      </c>
      <c r="O490">
        <f>(Table1[[#This Row],[P]]&lt;&gt;0)*(Table1[[#This Row],[C]]&lt;&gt;0)</f>
        <v>1</v>
      </c>
      <c r="P490">
        <f>NETWORKDAYS(Table1[[#This Row],[ts_event]],Table1[[#This Row],[option_expiry_date]])</f>
        <v>19</v>
      </c>
      <c r="Q490">
        <f>Table1[[#This Row],[Column2]]/252</f>
        <v>7.5396825396825393E-2</v>
      </c>
      <c r="R490" s="2">
        <f>IF(Table1[[#This Row],[CHECK2]]=0,NA(),
-(1/Table1[[#This Row],[T]])*LN((Table1[[#This Row],[S0]]-Table1[[#This Row],[C]]+Table1[[#This Row],[P]])/Table1[[#This Row],[K]])
)</f>
        <v>3.2551462223012452E-2</v>
      </c>
    </row>
    <row r="491" spans="1:18">
      <c r="A491">
        <v>1</v>
      </c>
      <c r="B491" t="s">
        <v>10</v>
      </c>
      <c r="C491" s="1">
        <v>46143</v>
      </c>
      <c r="D491" t="s">
        <v>14</v>
      </c>
      <c r="E491">
        <v>47</v>
      </c>
      <c r="F491" t="s">
        <v>12</v>
      </c>
      <c r="G491" t="s">
        <v>13</v>
      </c>
      <c r="H491" s="1">
        <v>46169</v>
      </c>
      <c r="I491">
        <v>0</v>
      </c>
      <c r="J491">
        <v>3.5</v>
      </c>
      <c r="K491">
        <v>0</v>
      </c>
      <c r="L491">
        <v>400</v>
      </c>
      <c r="M491">
        <v>45.612241688632501</v>
      </c>
      <c r="O491">
        <f>(Table1[[#This Row],[P]]&lt;&gt;0)*(Table1[[#This Row],[C]]&lt;&gt;0)</f>
        <v>0</v>
      </c>
      <c r="P491">
        <f>NETWORKDAYS(Table1[[#This Row],[ts_event]],Table1[[#This Row],[option_expiry_date]])</f>
        <v>19</v>
      </c>
      <c r="Q491">
        <f>Table1[[#This Row],[Column2]]/252</f>
        <v>7.5396825396825393E-2</v>
      </c>
      <c r="R491" s="2" t="e">
        <f>IF(Table1[[#This Row],[CHECK2]]=0,NA(),
-(1/Table1[[#This Row],[T]])*LN((Table1[[#This Row],[S0]]-Table1[[#This Row],[C]]+Table1[[#This Row],[P]])/Table1[[#This Row],[K]])
)</f>
        <v>#N/A</v>
      </c>
    </row>
    <row r="492" spans="1:18">
      <c r="A492">
        <v>1</v>
      </c>
      <c r="B492" t="s">
        <v>10</v>
      </c>
      <c r="C492" s="1">
        <v>46143</v>
      </c>
      <c r="D492" t="s">
        <v>14</v>
      </c>
      <c r="E492">
        <v>48</v>
      </c>
      <c r="F492" t="s">
        <v>12</v>
      </c>
      <c r="G492" t="s">
        <v>13</v>
      </c>
      <c r="H492" s="1">
        <v>46169</v>
      </c>
      <c r="I492">
        <v>0</v>
      </c>
      <c r="J492">
        <v>3.7</v>
      </c>
      <c r="K492">
        <v>0</v>
      </c>
      <c r="L492">
        <v>250</v>
      </c>
      <c r="M492">
        <v>45.612241688632501</v>
      </c>
      <c r="O492">
        <f>(Table1[[#This Row],[P]]&lt;&gt;0)*(Table1[[#This Row],[C]]&lt;&gt;0)</f>
        <v>0</v>
      </c>
      <c r="P492">
        <f>NETWORKDAYS(Table1[[#This Row],[ts_event]],Table1[[#This Row],[option_expiry_date]])</f>
        <v>19</v>
      </c>
      <c r="Q492">
        <f>Table1[[#This Row],[Column2]]/252</f>
        <v>7.5396825396825393E-2</v>
      </c>
      <c r="R492" s="2" t="e">
        <f>IF(Table1[[#This Row],[CHECK2]]=0,NA(),
-(1/Table1[[#This Row],[T]])*LN((Table1[[#This Row],[S0]]-Table1[[#This Row],[C]]+Table1[[#This Row],[P]])/Table1[[#This Row],[K]])
)</f>
        <v>#N/A</v>
      </c>
    </row>
    <row r="493" spans="1:18">
      <c r="A493">
        <v>2</v>
      </c>
      <c r="B493" t="s">
        <v>10</v>
      </c>
      <c r="C493" s="1">
        <v>46143</v>
      </c>
      <c r="D493" t="s">
        <v>14</v>
      </c>
      <c r="E493">
        <v>50</v>
      </c>
      <c r="F493" t="s">
        <v>12</v>
      </c>
      <c r="G493" t="s">
        <v>13</v>
      </c>
      <c r="H493" s="1">
        <v>46169</v>
      </c>
      <c r="I493">
        <v>6.7</v>
      </c>
      <c r="J493">
        <v>2.58</v>
      </c>
      <c r="K493">
        <v>500</v>
      </c>
      <c r="L493">
        <v>3775</v>
      </c>
      <c r="M493">
        <v>45.612241688632501</v>
      </c>
      <c r="O493">
        <f>(Table1[[#This Row],[P]]&lt;&gt;0)*(Table1[[#This Row],[C]]&lt;&gt;0)</f>
        <v>1</v>
      </c>
      <c r="P493">
        <f>NETWORKDAYS(Table1[[#This Row],[ts_event]],Table1[[#This Row],[option_expiry_date]])</f>
        <v>19</v>
      </c>
      <c r="Q493">
        <f>Table1[[#This Row],[Column2]]/252</f>
        <v>7.5396825396825393E-2</v>
      </c>
      <c r="R493" s="2">
        <f>IF(Table1[[#This Row],[CHECK2]]=0,NA(),
-(1/Table1[[#This Row],[T]])*LN((Table1[[#This Row],[S0]]-Table1[[#This Row],[C]]+Table1[[#This Row],[P]])/Table1[[#This Row],[K]])
)</f>
        <v>7.1217276055202061E-2</v>
      </c>
    </row>
    <row r="494" spans="1:18">
      <c r="A494">
        <v>1</v>
      </c>
      <c r="B494" t="s">
        <v>10</v>
      </c>
      <c r="C494" s="1">
        <v>46143</v>
      </c>
      <c r="D494" t="s">
        <v>14</v>
      </c>
      <c r="E494">
        <v>53</v>
      </c>
      <c r="F494" t="s">
        <v>12</v>
      </c>
      <c r="G494" t="s">
        <v>13</v>
      </c>
      <c r="H494" s="1">
        <v>46169</v>
      </c>
      <c r="I494">
        <v>0</v>
      </c>
      <c r="J494">
        <v>2.39</v>
      </c>
      <c r="K494">
        <v>0</v>
      </c>
      <c r="L494">
        <v>250</v>
      </c>
      <c r="M494">
        <v>45.612241688632501</v>
      </c>
      <c r="O494">
        <f>(Table1[[#This Row],[P]]&lt;&gt;0)*(Table1[[#This Row],[C]]&lt;&gt;0)</f>
        <v>0</v>
      </c>
      <c r="P494">
        <f>NETWORKDAYS(Table1[[#This Row],[ts_event]],Table1[[#This Row],[option_expiry_date]])</f>
        <v>19</v>
      </c>
      <c r="Q494">
        <f>Table1[[#This Row],[Column2]]/252</f>
        <v>7.5396825396825393E-2</v>
      </c>
      <c r="R494" s="2" t="e">
        <f>IF(Table1[[#This Row],[CHECK2]]=0,NA(),
-(1/Table1[[#This Row],[T]])*LN((Table1[[#This Row],[S0]]-Table1[[#This Row],[C]]+Table1[[#This Row],[P]])/Table1[[#This Row],[K]])
)</f>
        <v>#N/A</v>
      </c>
    </row>
    <row r="495" spans="1:18">
      <c r="A495">
        <v>2</v>
      </c>
      <c r="B495" t="s">
        <v>10</v>
      </c>
      <c r="C495" s="1">
        <v>46143</v>
      </c>
      <c r="D495" t="s">
        <v>14</v>
      </c>
      <c r="E495">
        <v>55</v>
      </c>
      <c r="F495" t="s">
        <v>12</v>
      </c>
      <c r="G495" t="s">
        <v>13</v>
      </c>
      <c r="H495" s="1">
        <v>46169</v>
      </c>
      <c r="I495">
        <v>0</v>
      </c>
      <c r="J495">
        <v>1.9475</v>
      </c>
      <c r="K495">
        <v>0</v>
      </c>
      <c r="L495">
        <v>4000</v>
      </c>
      <c r="M495">
        <v>45.612241688632501</v>
      </c>
      <c r="O495">
        <f>(Table1[[#This Row],[P]]&lt;&gt;0)*(Table1[[#This Row],[C]]&lt;&gt;0)</f>
        <v>0</v>
      </c>
      <c r="P495">
        <f>NETWORKDAYS(Table1[[#This Row],[ts_event]],Table1[[#This Row],[option_expiry_date]])</f>
        <v>19</v>
      </c>
      <c r="Q495">
        <f>Table1[[#This Row],[Column2]]/252</f>
        <v>7.5396825396825393E-2</v>
      </c>
      <c r="R495" s="2" t="e">
        <f>IF(Table1[[#This Row],[CHECK2]]=0,NA(),
-(1/Table1[[#This Row],[T]])*LN((Table1[[#This Row],[S0]]-Table1[[#This Row],[C]]+Table1[[#This Row],[P]])/Table1[[#This Row],[K]])
)</f>
        <v>#N/A</v>
      </c>
    </row>
    <row r="496" spans="1:18">
      <c r="A496">
        <v>1</v>
      </c>
      <c r="B496" t="s">
        <v>10</v>
      </c>
      <c r="C496" s="1">
        <v>46143</v>
      </c>
      <c r="D496" t="s">
        <v>14</v>
      </c>
      <c r="E496">
        <v>60</v>
      </c>
      <c r="F496" t="s">
        <v>12</v>
      </c>
      <c r="G496" t="s">
        <v>13</v>
      </c>
      <c r="H496" s="1">
        <v>46169</v>
      </c>
      <c r="I496">
        <v>0</v>
      </c>
      <c r="J496">
        <v>1.36</v>
      </c>
      <c r="K496">
        <v>0</v>
      </c>
      <c r="L496">
        <v>1050</v>
      </c>
      <c r="M496">
        <v>45.612241688632501</v>
      </c>
      <c r="O496">
        <f>(Table1[[#This Row],[P]]&lt;&gt;0)*(Table1[[#This Row],[C]]&lt;&gt;0)</f>
        <v>0</v>
      </c>
      <c r="P496">
        <f>NETWORKDAYS(Table1[[#This Row],[ts_event]],Table1[[#This Row],[option_expiry_date]])</f>
        <v>19</v>
      </c>
      <c r="Q496">
        <f>Table1[[#This Row],[Column2]]/252</f>
        <v>7.5396825396825393E-2</v>
      </c>
      <c r="R496" s="2" t="e">
        <f>IF(Table1[[#This Row],[CHECK2]]=0,NA(),
-(1/Table1[[#This Row],[T]])*LN((Table1[[#This Row],[S0]]-Table1[[#This Row],[C]]+Table1[[#This Row],[P]])/Table1[[#This Row],[K]])
)</f>
        <v>#N/A</v>
      </c>
    </row>
    <row r="497" spans="1:18">
      <c r="A497">
        <v>2</v>
      </c>
      <c r="B497" t="s">
        <v>10</v>
      </c>
      <c r="C497" s="1">
        <v>46143</v>
      </c>
      <c r="D497" t="s">
        <v>14</v>
      </c>
      <c r="E497">
        <v>65</v>
      </c>
      <c r="F497" t="s">
        <v>12</v>
      </c>
      <c r="G497" t="s">
        <v>13</v>
      </c>
      <c r="H497" s="1">
        <v>46169</v>
      </c>
      <c r="I497">
        <v>0</v>
      </c>
      <c r="J497">
        <v>0.92494923857868006</v>
      </c>
      <c r="K497">
        <v>0</v>
      </c>
      <c r="L497">
        <v>1970</v>
      </c>
      <c r="M497">
        <v>45.612241688632501</v>
      </c>
      <c r="O497">
        <f>(Table1[[#This Row],[P]]&lt;&gt;0)*(Table1[[#This Row],[C]]&lt;&gt;0)</f>
        <v>0</v>
      </c>
      <c r="P497">
        <f>NETWORKDAYS(Table1[[#This Row],[ts_event]],Table1[[#This Row],[option_expiry_date]])</f>
        <v>19</v>
      </c>
      <c r="Q497">
        <f>Table1[[#This Row],[Column2]]/252</f>
        <v>7.5396825396825393E-2</v>
      </c>
      <c r="R497" s="2" t="e">
        <f>IF(Table1[[#This Row],[CHECK2]]=0,NA(),
-(1/Table1[[#This Row],[T]])*LN((Table1[[#This Row],[S0]]-Table1[[#This Row],[C]]+Table1[[#This Row],[P]])/Table1[[#This Row],[K]])
)</f>
        <v>#N/A</v>
      </c>
    </row>
    <row r="498" spans="1:18">
      <c r="A498">
        <v>1</v>
      </c>
      <c r="B498" t="s">
        <v>10</v>
      </c>
      <c r="C498" s="1">
        <v>46143</v>
      </c>
      <c r="D498" t="s">
        <v>14</v>
      </c>
      <c r="E498">
        <v>70</v>
      </c>
      <c r="F498" t="s">
        <v>12</v>
      </c>
      <c r="G498" t="s">
        <v>13</v>
      </c>
      <c r="H498" s="1">
        <v>46169</v>
      </c>
      <c r="I498">
        <v>0</v>
      </c>
      <c r="J498">
        <v>0.67500000000000004</v>
      </c>
      <c r="K498">
        <v>0</v>
      </c>
      <c r="L498">
        <v>2120</v>
      </c>
      <c r="M498">
        <v>45.612241688632501</v>
      </c>
      <c r="O498">
        <f>(Table1[[#This Row],[P]]&lt;&gt;0)*(Table1[[#This Row],[C]]&lt;&gt;0)</f>
        <v>0</v>
      </c>
      <c r="P498">
        <f>NETWORKDAYS(Table1[[#This Row],[ts_event]],Table1[[#This Row],[option_expiry_date]])</f>
        <v>19</v>
      </c>
      <c r="Q498">
        <f>Table1[[#This Row],[Column2]]/252</f>
        <v>7.5396825396825393E-2</v>
      </c>
      <c r="R498" s="2" t="e">
        <f>IF(Table1[[#This Row],[CHECK2]]=0,NA(),
-(1/Table1[[#This Row],[T]])*LN((Table1[[#This Row],[S0]]-Table1[[#This Row],[C]]+Table1[[#This Row],[P]])/Table1[[#This Row],[K]])
)</f>
        <v>#N/A</v>
      </c>
    </row>
    <row r="499" spans="1:18">
      <c r="A499">
        <v>1</v>
      </c>
      <c r="B499" t="s">
        <v>10</v>
      </c>
      <c r="C499" s="1">
        <v>46143</v>
      </c>
      <c r="D499" t="s">
        <v>14</v>
      </c>
      <c r="E499">
        <v>75</v>
      </c>
      <c r="F499" t="s">
        <v>12</v>
      </c>
      <c r="G499" t="s">
        <v>13</v>
      </c>
      <c r="H499" s="1">
        <v>46169</v>
      </c>
      <c r="I499">
        <v>0</v>
      </c>
      <c r="J499">
        <v>0.5</v>
      </c>
      <c r="K499">
        <v>0</v>
      </c>
      <c r="L499">
        <v>3900</v>
      </c>
      <c r="M499">
        <v>45.612241688632501</v>
      </c>
      <c r="O499">
        <f>(Table1[[#This Row],[P]]&lt;&gt;0)*(Table1[[#This Row],[C]]&lt;&gt;0)</f>
        <v>0</v>
      </c>
      <c r="P499">
        <f>NETWORKDAYS(Table1[[#This Row],[ts_event]],Table1[[#This Row],[option_expiry_date]])</f>
        <v>19</v>
      </c>
      <c r="Q499">
        <f>Table1[[#This Row],[Column2]]/252</f>
        <v>7.5396825396825393E-2</v>
      </c>
      <c r="R499" s="2" t="e">
        <f>IF(Table1[[#This Row],[CHECK2]]=0,NA(),
-(1/Table1[[#This Row],[T]])*LN((Table1[[#This Row],[S0]]-Table1[[#This Row],[C]]+Table1[[#This Row],[P]])/Table1[[#This Row],[K]])
)</f>
        <v>#N/A</v>
      </c>
    </row>
    <row r="500" spans="1:18">
      <c r="A500">
        <v>1</v>
      </c>
      <c r="B500" t="s">
        <v>10</v>
      </c>
      <c r="C500" s="1">
        <v>46143</v>
      </c>
      <c r="D500" t="s">
        <v>15</v>
      </c>
      <c r="E500">
        <v>30</v>
      </c>
      <c r="F500" t="s">
        <v>12</v>
      </c>
      <c r="G500" t="s">
        <v>13</v>
      </c>
      <c r="H500" s="1">
        <v>46199</v>
      </c>
      <c r="I500">
        <v>0.33</v>
      </c>
      <c r="J500">
        <v>0</v>
      </c>
      <c r="K500">
        <v>1125</v>
      </c>
      <c r="L500">
        <v>0</v>
      </c>
      <c r="M500">
        <v>45.578055793737597</v>
      </c>
      <c r="O500">
        <f>(Table1[[#This Row],[P]]&lt;&gt;0)*(Table1[[#This Row],[C]]&lt;&gt;0)</f>
        <v>0</v>
      </c>
      <c r="P500">
        <f>NETWORKDAYS(Table1[[#This Row],[ts_event]],Table1[[#This Row],[option_expiry_date]])</f>
        <v>41</v>
      </c>
      <c r="Q500">
        <f>Table1[[#This Row],[Column2]]/252</f>
        <v>0.1626984126984127</v>
      </c>
      <c r="R500" s="2" t="e">
        <f>IF(Table1[[#This Row],[CHECK2]]=0,NA(),
-(1/Table1[[#This Row],[T]])*LN((Table1[[#This Row],[S0]]-Table1[[#This Row],[C]]+Table1[[#This Row],[P]])/Table1[[#This Row],[K]])
)</f>
        <v>#N/A</v>
      </c>
    </row>
    <row r="501" spans="1:18">
      <c r="A501">
        <v>1</v>
      </c>
      <c r="B501" t="s">
        <v>10</v>
      </c>
      <c r="C501" s="1">
        <v>46143</v>
      </c>
      <c r="D501" t="s">
        <v>15</v>
      </c>
      <c r="E501">
        <v>35</v>
      </c>
      <c r="F501" t="s">
        <v>12</v>
      </c>
      <c r="G501" t="s">
        <v>13</v>
      </c>
      <c r="H501" s="1">
        <v>46199</v>
      </c>
      <c r="I501">
        <v>0.98999999999999899</v>
      </c>
      <c r="J501">
        <v>0</v>
      </c>
      <c r="K501">
        <v>1065</v>
      </c>
      <c r="L501">
        <v>0</v>
      </c>
      <c r="M501">
        <v>45.578055793737597</v>
      </c>
      <c r="O501">
        <f>(Table1[[#This Row],[P]]&lt;&gt;0)*(Table1[[#This Row],[C]]&lt;&gt;0)</f>
        <v>0</v>
      </c>
      <c r="P501">
        <f>NETWORKDAYS(Table1[[#This Row],[ts_event]],Table1[[#This Row],[option_expiry_date]])</f>
        <v>41</v>
      </c>
      <c r="Q501">
        <f>Table1[[#This Row],[Column2]]/252</f>
        <v>0.1626984126984127</v>
      </c>
      <c r="R501" s="2" t="e">
        <f>IF(Table1[[#This Row],[CHECK2]]=0,NA(),
-(1/Table1[[#This Row],[T]])*LN((Table1[[#This Row],[S0]]-Table1[[#This Row],[C]]+Table1[[#This Row],[P]])/Table1[[#This Row],[K]])
)</f>
        <v>#N/A</v>
      </c>
    </row>
    <row r="502" spans="1:18">
      <c r="A502">
        <v>2</v>
      </c>
      <c r="B502" t="s">
        <v>10</v>
      </c>
      <c r="C502" s="1">
        <v>46143</v>
      </c>
      <c r="D502" t="s">
        <v>15</v>
      </c>
      <c r="E502">
        <v>40</v>
      </c>
      <c r="F502" t="s">
        <v>12</v>
      </c>
      <c r="G502" t="s">
        <v>13</v>
      </c>
      <c r="H502" s="1">
        <v>46199</v>
      </c>
      <c r="I502">
        <v>2.5068965517241302</v>
      </c>
      <c r="J502">
        <v>0</v>
      </c>
      <c r="K502">
        <v>1450</v>
      </c>
      <c r="L502">
        <v>0</v>
      </c>
      <c r="M502">
        <v>45.578055793737597</v>
      </c>
      <c r="O502">
        <f>(Table1[[#This Row],[P]]&lt;&gt;0)*(Table1[[#This Row],[C]]&lt;&gt;0)</f>
        <v>0</v>
      </c>
      <c r="P502">
        <f>NETWORKDAYS(Table1[[#This Row],[ts_event]],Table1[[#This Row],[option_expiry_date]])</f>
        <v>41</v>
      </c>
      <c r="Q502">
        <f>Table1[[#This Row],[Column2]]/252</f>
        <v>0.1626984126984127</v>
      </c>
      <c r="R502" s="2" t="e">
        <f>IF(Table1[[#This Row],[CHECK2]]=0,NA(),
-(1/Table1[[#This Row],[T]])*LN((Table1[[#This Row],[S0]]-Table1[[#This Row],[C]]+Table1[[#This Row],[P]])/Table1[[#This Row],[K]])
)</f>
        <v>#N/A</v>
      </c>
    </row>
    <row r="503" spans="1:18">
      <c r="A503">
        <v>3</v>
      </c>
      <c r="B503" t="s">
        <v>10</v>
      </c>
      <c r="C503" s="1">
        <v>46143</v>
      </c>
      <c r="D503" t="s">
        <v>15</v>
      </c>
      <c r="E503">
        <v>45</v>
      </c>
      <c r="F503" t="s">
        <v>12</v>
      </c>
      <c r="G503" t="s">
        <v>13</v>
      </c>
      <c r="H503" s="1">
        <v>46199</v>
      </c>
      <c r="I503">
        <v>5.2</v>
      </c>
      <c r="J503">
        <v>6.3383333333333303</v>
      </c>
      <c r="K503">
        <v>200</v>
      </c>
      <c r="L503">
        <v>375</v>
      </c>
      <c r="M503">
        <v>45.578055793737597</v>
      </c>
      <c r="O503">
        <f>(Table1[[#This Row],[P]]&lt;&gt;0)*(Table1[[#This Row],[C]]&lt;&gt;0)</f>
        <v>1</v>
      </c>
      <c r="P503">
        <f>NETWORKDAYS(Table1[[#This Row],[ts_event]],Table1[[#This Row],[option_expiry_date]])</f>
        <v>41</v>
      </c>
      <c r="Q503">
        <f>Table1[[#This Row],[Column2]]/252</f>
        <v>0.1626984126984127</v>
      </c>
      <c r="R503" s="2">
        <f>IF(Table1[[#This Row],[CHECK2]]=0,NA(),
-(1/Table1[[#This Row],[T]])*LN((Table1[[#This Row],[S0]]-Table1[[#This Row],[C]]+Table1[[#This Row],[P]])/Table1[[#This Row],[K]])
)</f>
        <v>7.7006100281057088E-2</v>
      </c>
    </row>
    <row r="504" spans="1:18">
      <c r="A504">
        <v>1</v>
      </c>
      <c r="B504" t="s">
        <v>10</v>
      </c>
      <c r="C504" s="1">
        <v>46143</v>
      </c>
      <c r="D504" t="s">
        <v>15</v>
      </c>
      <c r="E504">
        <v>50</v>
      </c>
      <c r="F504" t="s">
        <v>12</v>
      </c>
      <c r="G504" t="s">
        <v>13</v>
      </c>
      <c r="H504" s="1">
        <v>46199</v>
      </c>
      <c r="I504">
        <v>0</v>
      </c>
      <c r="J504">
        <v>5</v>
      </c>
      <c r="K504">
        <v>0</v>
      </c>
      <c r="L504">
        <v>100</v>
      </c>
      <c r="M504">
        <v>45.578055793737597</v>
      </c>
      <c r="O504">
        <f>(Table1[[#This Row],[P]]&lt;&gt;0)*(Table1[[#This Row],[C]]&lt;&gt;0)</f>
        <v>0</v>
      </c>
      <c r="P504">
        <f>NETWORKDAYS(Table1[[#This Row],[ts_event]],Table1[[#This Row],[option_expiry_date]])</f>
        <v>41</v>
      </c>
      <c r="Q504">
        <f>Table1[[#This Row],[Column2]]/252</f>
        <v>0.1626984126984127</v>
      </c>
      <c r="R504" s="2" t="e">
        <f>IF(Table1[[#This Row],[CHECK2]]=0,NA(),
-(1/Table1[[#This Row],[T]])*LN((Table1[[#This Row],[S0]]-Table1[[#This Row],[C]]+Table1[[#This Row],[P]])/Table1[[#This Row],[K]])
)</f>
        <v>#N/A</v>
      </c>
    </row>
    <row r="505" spans="1:18">
      <c r="A505">
        <v>1</v>
      </c>
      <c r="B505" t="s">
        <v>10</v>
      </c>
      <c r="C505" s="1">
        <v>46143</v>
      </c>
      <c r="D505" t="s">
        <v>15</v>
      </c>
      <c r="E505">
        <v>55</v>
      </c>
      <c r="F505" t="s">
        <v>12</v>
      </c>
      <c r="G505" t="s">
        <v>13</v>
      </c>
      <c r="H505" s="1">
        <v>46199</v>
      </c>
      <c r="I505">
        <v>0</v>
      </c>
      <c r="J505">
        <v>3.9249999999999998</v>
      </c>
      <c r="K505">
        <v>0</v>
      </c>
      <c r="L505">
        <v>3850</v>
      </c>
      <c r="M505">
        <v>45.578055793737597</v>
      </c>
      <c r="O505">
        <f>(Table1[[#This Row],[P]]&lt;&gt;0)*(Table1[[#This Row],[C]]&lt;&gt;0)</f>
        <v>0</v>
      </c>
      <c r="P505">
        <f>NETWORKDAYS(Table1[[#This Row],[ts_event]],Table1[[#This Row],[option_expiry_date]])</f>
        <v>41</v>
      </c>
      <c r="Q505">
        <f>Table1[[#This Row],[Column2]]/252</f>
        <v>0.1626984126984127</v>
      </c>
      <c r="R505" s="2" t="e">
        <f>IF(Table1[[#This Row],[CHECK2]]=0,NA(),
-(1/Table1[[#This Row],[T]])*LN((Table1[[#This Row],[S0]]-Table1[[#This Row],[C]]+Table1[[#This Row],[P]])/Table1[[#This Row],[K]])
)</f>
        <v>#N/A</v>
      </c>
    </row>
    <row r="506" spans="1:18">
      <c r="A506">
        <v>1</v>
      </c>
      <c r="B506" t="s">
        <v>10</v>
      </c>
      <c r="C506" s="1">
        <v>46143</v>
      </c>
      <c r="D506" t="s">
        <v>15</v>
      </c>
      <c r="E506">
        <v>60</v>
      </c>
      <c r="F506" t="s">
        <v>12</v>
      </c>
      <c r="G506" t="s">
        <v>13</v>
      </c>
      <c r="H506" s="1">
        <v>46199</v>
      </c>
      <c r="I506">
        <v>0</v>
      </c>
      <c r="J506">
        <v>2.75</v>
      </c>
      <c r="K506">
        <v>0</v>
      </c>
      <c r="L506">
        <v>1400</v>
      </c>
      <c r="M506">
        <v>45.578055793737597</v>
      </c>
      <c r="O506">
        <f>(Table1[[#This Row],[P]]&lt;&gt;0)*(Table1[[#This Row],[C]]&lt;&gt;0)</f>
        <v>0</v>
      </c>
      <c r="P506">
        <f>NETWORKDAYS(Table1[[#This Row],[ts_event]],Table1[[#This Row],[option_expiry_date]])</f>
        <v>41</v>
      </c>
      <c r="Q506">
        <f>Table1[[#This Row],[Column2]]/252</f>
        <v>0.1626984126984127</v>
      </c>
      <c r="R506" s="2" t="e">
        <f>IF(Table1[[#This Row],[CHECK2]]=0,NA(),
-(1/Table1[[#This Row],[T]])*LN((Table1[[#This Row],[S0]]-Table1[[#This Row],[C]]+Table1[[#This Row],[P]])/Table1[[#This Row],[K]])
)</f>
        <v>#N/A</v>
      </c>
    </row>
    <row r="507" spans="1:18">
      <c r="A507">
        <v>1</v>
      </c>
      <c r="B507" t="s">
        <v>10</v>
      </c>
      <c r="C507" s="1">
        <v>46143</v>
      </c>
      <c r="D507" t="s">
        <v>15</v>
      </c>
      <c r="E507">
        <v>70</v>
      </c>
      <c r="F507" t="s">
        <v>12</v>
      </c>
      <c r="G507" t="s">
        <v>13</v>
      </c>
      <c r="H507" s="1">
        <v>46199</v>
      </c>
      <c r="I507">
        <v>0</v>
      </c>
      <c r="J507">
        <v>2</v>
      </c>
      <c r="K507">
        <v>0</v>
      </c>
      <c r="L507">
        <v>1700</v>
      </c>
      <c r="M507">
        <v>45.578055793737597</v>
      </c>
      <c r="O507">
        <f>(Table1[[#This Row],[P]]&lt;&gt;0)*(Table1[[#This Row],[C]]&lt;&gt;0)</f>
        <v>0</v>
      </c>
      <c r="P507">
        <f>NETWORKDAYS(Table1[[#This Row],[ts_event]],Table1[[#This Row],[option_expiry_date]])</f>
        <v>41</v>
      </c>
      <c r="Q507">
        <f>Table1[[#This Row],[Column2]]/252</f>
        <v>0.1626984126984127</v>
      </c>
      <c r="R507" s="2" t="e">
        <f>IF(Table1[[#This Row],[CHECK2]]=0,NA(),
-(1/Table1[[#This Row],[T]])*LN((Table1[[#This Row],[S0]]-Table1[[#This Row],[C]]+Table1[[#This Row],[P]])/Table1[[#This Row],[K]])
)</f>
        <v>#N/A</v>
      </c>
    </row>
    <row r="508" spans="1:18">
      <c r="A508">
        <v>1</v>
      </c>
      <c r="B508" t="s">
        <v>10</v>
      </c>
      <c r="C508" s="1">
        <v>46143</v>
      </c>
      <c r="D508" t="s">
        <v>16</v>
      </c>
      <c r="E508">
        <v>30</v>
      </c>
      <c r="F508" t="s">
        <v>12</v>
      </c>
      <c r="G508" t="s">
        <v>13</v>
      </c>
      <c r="H508" s="1">
        <v>46230</v>
      </c>
      <c r="I508">
        <v>0.5</v>
      </c>
      <c r="J508">
        <v>0</v>
      </c>
      <c r="K508">
        <v>2200</v>
      </c>
      <c r="L508">
        <v>0</v>
      </c>
      <c r="M508">
        <v>45.732319501496796</v>
      </c>
      <c r="O508">
        <f>(Table1[[#This Row],[P]]&lt;&gt;0)*(Table1[[#This Row],[C]]&lt;&gt;0)</f>
        <v>0</v>
      </c>
      <c r="P508">
        <f>NETWORKDAYS(Table1[[#This Row],[ts_event]],Table1[[#This Row],[option_expiry_date]])</f>
        <v>62</v>
      </c>
      <c r="Q508">
        <f>Table1[[#This Row],[Column2]]/252</f>
        <v>0.24603174603174602</v>
      </c>
      <c r="R508" s="2" t="e">
        <f>IF(Table1[[#This Row],[CHECK2]]=0,NA(),
-(1/Table1[[#This Row],[T]])*LN((Table1[[#This Row],[S0]]-Table1[[#This Row],[C]]+Table1[[#This Row],[P]])/Table1[[#This Row],[K]])
)</f>
        <v>#N/A</v>
      </c>
    </row>
    <row r="509" spans="1:18">
      <c r="A509">
        <v>1</v>
      </c>
      <c r="B509" t="s">
        <v>10</v>
      </c>
      <c r="C509" s="1">
        <v>46143</v>
      </c>
      <c r="D509" t="s">
        <v>16</v>
      </c>
      <c r="E509">
        <v>37</v>
      </c>
      <c r="F509" t="s">
        <v>12</v>
      </c>
      <c r="G509" t="s">
        <v>13</v>
      </c>
      <c r="H509" s="1">
        <v>46230</v>
      </c>
      <c r="I509">
        <v>2.2999999999999998</v>
      </c>
      <c r="J509">
        <v>0</v>
      </c>
      <c r="K509">
        <v>100</v>
      </c>
      <c r="L509">
        <v>0</v>
      </c>
      <c r="M509">
        <v>45.732319501496796</v>
      </c>
      <c r="O509">
        <f>(Table1[[#This Row],[P]]&lt;&gt;0)*(Table1[[#This Row],[C]]&lt;&gt;0)</f>
        <v>0</v>
      </c>
      <c r="P509">
        <f>NETWORKDAYS(Table1[[#This Row],[ts_event]],Table1[[#This Row],[option_expiry_date]])</f>
        <v>62</v>
      </c>
      <c r="Q509">
        <f>Table1[[#This Row],[Column2]]/252</f>
        <v>0.24603174603174602</v>
      </c>
      <c r="R509" s="2" t="e">
        <f>IF(Table1[[#This Row],[CHECK2]]=0,NA(),
-(1/Table1[[#This Row],[T]])*LN((Table1[[#This Row],[S0]]-Table1[[#This Row],[C]]+Table1[[#This Row],[P]])/Table1[[#This Row],[K]])
)</f>
        <v>#N/A</v>
      </c>
    </row>
    <row r="510" spans="1:18">
      <c r="A510">
        <v>1</v>
      </c>
      <c r="B510" t="s">
        <v>10</v>
      </c>
      <c r="C510" s="1">
        <v>46143</v>
      </c>
      <c r="D510" t="s">
        <v>16</v>
      </c>
      <c r="E510">
        <v>40</v>
      </c>
      <c r="F510" t="s">
        <v>12</v>
      </c>
      <c r="G510" t="s">
        <v>13</v>
      </c>
      <c r="H510" s="1">
        <v>46230</v>
      </c>
      <c r="I510">
        <v>0</v>
      </c>
      <c r="J510">
        <v>9.3550000000000004</v>
      </c>
      <c r="K510">
        <v>0</v>
      </c>
      <c r="L510">
        <v>300</v>
      </c>
      <c r="M510">
        <v>45.732319501496796</v>
      </c>
      <c r="O510">
        <f>(Table1[[#This Row],[P]]&lt;&gt;0)*(Table1[[#This Row],[C]]&lt;&gt;0)</f>
        <v>0</v>
      </c>
      <c r="P510">
        <f>NETWORKDAYS(Table1[[#This Row],[ts_event]],Table1[[#This Row],[option_expiry_date]])</f>
        <v>62</v>
      </c>
      <c r="Q510">
        <f>Table1[[#This Row],[Column2]]/252</f>
        <v>0.24603174603174602</v>
      </c>
      <c r="R510" s="2" t="e">
        <f>IF(Table1[[#This Row],[CHECK2]]=0,NA(),
-(1/Table1[[#This Row],[T]])*LN((Table1[[#This Row],[S0]]-Table1[[#This Row],[C]]+Table1[[#This Row],[P]])/Table1[[#This Row],[K]])
)</f>
        <v>#N/A</v>
      </c>
    </row>
    <row r="511" spans="1:18">
      <c r="A511">
        <v>1</v>
      </c>
      <c r="B511" t="s">
        <v>10</v>
      </c>
      <c r="C511" s="1">
        <v>46143</v>
      </c>
      <c r="D511" t="s">
        <v>16</v>
      </c>
      <c r="E511">
        <v>50</v>
      </c>
      <c r="F511" t="s">
        <v>12</v>
      </c>
      <c r="G511" t="s">
        <v>13</v>
      </c>
      <c r="H511" s="1">
        <v>46230</v>
      </c>
      <c r="I511">
        <v>0</v>
      </c>
      <c r="J511">
        <v>5.875</v>
      </c>
      <c r="K511">
        <v>0</v>
      </c>
      <c r="L511">
        <v>400</v>
      </c>
      <c r="M511">
        <v>45.732319501496796</v>
      </c>
      <c r="O511">
        <f>(Table1[[#This Row],[P]]&lt;&gt;0)*(Table1[[#This Row],[C]]&lt;&gt;0)</f>
        <v>0</v>
      </c>
      <c r="P511">
        <f>NETWORKDAYS(Table1[[#This Row],[ts_event]],Table1[[#This Row],[option_expiry_date]])</f>
        <v>62</v>
      </c>
      <c r="Q511">
        <f>Table1[[#This Row],[Column2]]/252</f>
        <v>0.24603174603174602</v>
      </c>
      <c r="R511" s="2" t="e">
        <f>IF(Table1[[#This Row],[CHECK2]]=0,NA(),
-(1/Table1[[#This Row],[T]])*LN((Table1[[#This Row],[S0]]-Table1[[#This Row],[C]]+Table1[[#This Row],[P]])/Table1[[#This Row],[K]])
)</f>
        <v>#N/A</v>
      </c>
    </row>
    <row r="512" spans="1:18">
      <c r="A512">
        <v>1</v>
      </c>
      <c r="B512" t="s">
        <v>10</v>
      </c>
      <c r="C512" s="1">
        <v>46143</v>
      </c>
      <c r="D512" t="s">
        <v>18</v>
      </c>
      <c r="E512">
        <v>40</v>
      </c>
      <c r="F512" t="s">
        <v>12</v>
      </c>
      <c r="G512" t="s">
        <v>13</v>
      </c>
      <c r="H512" s="1">
        <v>46290</v>
      </c>
      <c r="I512">
        <v>4.5250000000000004</v>
      </c>
      <c r="J512">
        <v>0</v>
      </c>
      <c r="K512">
        <v>350</v>
      </c>
      <c r="L512">
        <v>0</v>
      </c>
      <c r="M512">
        <v>45.393929381140303</v>
      </c>
      <c r="O512">
        <f>(Table1[[#This Row],[P]]&lt;&gt;0)*(Table1[[#This Row],[C]]&lt;&gt;0)</f>
        <v>0</v>
      </c>
      <c r="P512">
        <f>NETWORKDAYS(Table1[[#This Row],[ts_event]],Table1[[#This Row],[option_expiry_date]])</f>
        <v>106</v>
      </c>
      <c r="Q512">
        <f>Table1[[#This Row],[Column2]]/252</f>
        <v>0.42063492063492064</v>
      </c>
      <c r="R512" s="2" t="e">
        <f>IF(Table1[[#This Row],[CHECK2]]=0,NA(),
-(1/Table1[[#This Row],[T]])*LN((Table1[[#This Row],[S0]]-Table1[[#This Row],[C]]+Table1[[#This Row],[P]])/Table1[[#This Row],[K]])
)</f>
        <v>#N/A</v>
      </c>
    </row>
    <row r="513" spans="1:18">
      <c r="A513">
        <v>1</v>
      </c>
      <c r="B513" t="s">
        <v>10</v>
      </c>
      <c r="C513" s="1">
        <v>46143</v>
      </c>
      <c r="D513" t="s">
        <v>19</v>
      </c>
      <c r="E513">
        <v>40</v>
      </c>
      <c r="F513" t="s">
        <v>12</v>
      </c>
      <c r="G513" t="s">
        <v>13</v>
      </c>
      <c r="H513" s="1">
        <v>46380</v>
      </c>
      <c r="I513">
        <v>6.8</v>
      </c>
      <c r="J513">
        <v>0</v>
      </c>
      <c r="K513">
        <v>550</v>
      </c>
      <c r="L513">
        <v>0</v>
      </c>
      <c r="M513">
        <v>45.073368477758898</v>
      </c>
      <c r="O513">
        <f>(Table1[[#This Row],[P]]&lt;&gt;0)*(Table1[[#This Row],[C]]&lt;&gt;0)</f>
        <v>0</v>
      </c>
      <c r="P513">
        <f>NETWORKDAYS(Table1[[#This Row],[ts_event]],Table1[[#This Row],[option_expiry_date]])</f>
        <v>170</v>
      </c>
      <c r="Q513">
        <f>Table1[[#This Row],[Column2]]/252</f>
        <v>0.67460317460317465</v>
      </c>
      <c r="R513" s="2" t="e">
        <f>IF(Table1[[#This Row],[CHECK2]]=0,NA(),
-(1/Table1[[#This Row],[T]])*LN((Table1[[#This Row],[S0]]-Table1[[#This Row],[C]]+Table1[[#This Row],[P]])/Table1[[#This Row],[K]])
)</f>
        <v>#N/A</v>
      </c>
    </row>
    <row r="514" spans="1:18">
      <c r="A514">
        <v>1</v>
      </c>
      <c r="B514" t="s">
        <v>10</v>
      </c>
      <c r="C514" s="1">
        <v>46143</v>
      </c>
      <c r="D514" t="s">
        <v>22</v>
      </c>
      <c r="E514">
        <v>50</v>
      </c>
      <c r="F514" t="s">
        <v>12</v>
      </c>
      <c r="G514" t="s">
        <v>13</v>
      </c>
      <c r="H514" s="1">
        <v>46442</v>
      </c>
      <c r="I514">
        <v>0</v>
      </c>
      <c r="J514">
        <v>9.6</v>
      </c>
      <c r="K514">
        <v>0</v>
      </c>
      <c r="L514">
        <v>250</v>
      </c>
      <c r="M514">
        <v>42.854999999999997</v>
      </c>
      <c r="O514">
        <f>(Table1[[#This Row],[P]]&lt;&gt;0)*(Table1[[#This Row],[C]]&lt;&gt;0)</f>
        <v>0</v>
      </c>
      <c r="P514">
        <f>NETWORKDAYS(Table1[[#This Row],[ts_event]],Table1[[#This Row],[option_expiry_date]])</f>
        <v>214</v>
      </c>
      <c r="Q514">
        <f>Table1[[#This Row],[Column2]]/252</f>
        <v>0.84920634920634919</v>
      </c>
      <c r="R514" s="2" t="e">
        <f>IF(Table1[[#This Row],[CHECK2]]=0,NA(),
-(1/Table1[[#This Row],[T]])*LN((Table1[[#This Row],[S0]]-Table1[[#This Row],[C]]+Table1[[#This Row],[P]])/Table1[[#This Row],[K]])
)</f>
        <v>#N/A</v>
      </c>
    </row>
    <row r="515" spans="1:18">
      <c r="A515">
        <v>1</v>
      </c>
      <c r="B515" t="s">
        <v>10</v>
      </c>
      <c r="C515" s="1">
        <v>46143</v>
      </c>
      <c r="D515" t="s">
        <v>23</v>
      </c>
      <c r="E515">
        <v>50</v>
      </c>
      <c r="F515" t="s">
        <v>12</v>
      </c>
      <c r="G515" t="s">
        <v>13</v>
      </c>
      <c r="H515" s="1">
        <v>46471</v>
      </c>
      <c r="I515">
        <v>0</v>
      </c>
      <c r="J515">
        <v>5.5</v>
      </c>
      <c r="K515">
        <v>0</v>
      </c>
      <c r="L515">
        <v>100</v>
      </c>
      <c r="M515">
        <v>37.375</v>
      </c>
      <c r="O515">
        <f>(Table1[[#This Row],[P]]&lt;&gt;0)*(Table1[[#This Row],[C]]&lt;&gt;0)</f>
        <v>0</v>
      </c>
      <c r="P515">
        <f>NETWORKDAYS(Table1[[#This Row],[ts_event]],Table1[[#This Row],[option_expiry_date]])</f>
        <v>235</v>
      </c>
      <c r="Q515">
        <f>Table1[[#This Row],[Column2]]/252</f>
        <v>0.93253968253968256</v>
      </c>
      <c r="R515" s="2" t="e">
        <f>IF(Table1[[#This Row],[CHECK2]]=0,NA(),
-(1/Table1[[#This Row],[T]])*LN((Table1[[#This Row],[S0]]-Table1[[#This Row],[C]]+Table1[[#This Row],[P]])/Table1[[#This Row],[K]])
)</f>
        <v>#N/A</v>
      </c>
    </row>
    <row r="516" spans="1:18">
      <c r="A516">
        <v>1</v>
      </c>
      <c r="B516" t="s">
        <v>10</v>
      </c>
      <c r="C516" s="1">
        <v>46146</v>
      </c>
      <c r="D516" t="s">
        <v>14</v>
      </c>
      <c r="E516">
        <v>34</v>
      </c>
      <c r="F516" t="s">
        <v>12</v>
      </c>
      <c r="G516" t="s">
        <v>13</v>
      </c>
      <c r="H516" s="1">
        <v>46169</v>
      </c>
      <c r="I516">
        <v>0.20499999999999999</v>
      </c>
      <c r="J516">
        <v>0</v>
      </c>
      <c r="K516">
        <v>10</v>
      </c>
      <c r="L516">
        <v>0</v>
      </c>
      <c r="M516">
        <v>49.0002283820697</v>
      </c>
      <c r="N516">
        <v>1.9319999999999999</v>
      </c>
      <c r="O516">
        <f>(Table1[[#This Row],[P]]&lt;&gt;0)*(Table1[[#This Row],[C]]&lt;&gt;0)</f>
        <v>0</v>
      </c>
      <c r="P516">
        <f>NETWORKDAYS(Table1[[#This Row],[ts_event]],Table1[[#This Row],[option_expiry_date]])</f>
        <v>18</v>
      </c>
      <c r="Q516">
        <f>Table1[[#This Row],[Column2]]/252</f>
        <v>7.1428571428571425E-2</v>
      </c>
      <c r="R516" s="2" t="e">
        <f>IF(Table1[[#This Row],[CHECK2]]=0,NA(),
-(1/Table1[[#This Row],[T]])*LN((Table1[[#This Row],[S0]]-Table1[[#This Row],[C]]+Table1[[#This Row],[P]])/Table1[[#This Row],[K]])
)</f>
        <v>#N/A</v>
      </c>
    </row>
    <row r="517" spans="1:18">
      <c r="A517">
        <v>1</v>
      </c>
      <c r="B517" t="s">
        <v>10</v>
      </c>
      <c r="C517" s="1">
        <v>46146</v>
      </c>
      <c r="D517" t="s">
        <v>14</v>
      </c>
      <c r="E517">
        <v>37</v>
      </c>
      <c r="F517" t="s">
        <v>12</v>
      </c>
      <c r="G517" t="s">
        <v>13</v>
      </c>
      <c r="H517" s="1">
        <v>46169</v>
      </c>
      <c r="I517">
        <v>0.49</v>
      </c>
      <c r="J517">
        <v>0</v>
      </c>
      <c r="K517">
        <v>40</v>
      </c>
      <c r="L517">
        <v>0</v>
      </c>
      <c r="M517">
        <v>49.0002283820697</v>
      </c>
      <c r="N517">
        <v>1.9319999999999999</v>
      </c>
      <c r="O517">
        <f>(Table1[[#This Row],[P]]&lt;&gt;0)*(Table1[[#This Row],[C]]&lt;&gt;0)</f>
        <v>0</v>
      </c>
      <c r="P517">
        <f>NETWORKDAYS(Table1[[#This Row],[ts_event]],Table1[[#This Row],[option_expiry_date]])</f>
        <v>18</v>
      </c>
      <c r="Q517">
        <f>Table1[[#This Row],[Column2]]/252</f>
        <v>7.1428571428571425E-2</v>
      </c>
      <c r="R517" s="2" t="e">
        <f>IF(Table1[[#This Row],[CHECK2]]=0,NA(),
-(1/Table1[[#This Row],[T]])*LN((Table1[[#This Row],[S0]]-Table1[[#This Row],[C]]+Table1[[#This Row],[P]])/Table1[[#This Row],[K]])
)</f>
        <v>#N/A</v>
      </c>
    </row>
    <row r="518" spans="1:18">
      <c r="A518">
        <v>1</v>
      </c>
      <c r="B518" t="s">
        <v>10</v>
      </c>
      <c r="C518" s="1">
        <v>46146</v>
      </c>
      <c r="D518" t="s">
        <v>14</v>
      </c>
      <c r="E518">
        <v>40</v>
      </c>
      <c r="F518" t="s">
        <v>12</v>
      </c>
      <c r="G518" t="s">
        <v>13</v>
      </c>
      <c r="H518" s="1">
        <v>46169</v>
      </c>
      <c r="I518">
        <v>0.95</v>
      </c>
      <c r="J518">
        <v>0</v>
      </c>
      <c r="K518">
        <v>100</v>
      </c>
      <c r="L518">
        <v>0</v>
      </c>
      <c r="M518">
        <v>49.0002283820697</v>
      </c>
      <c r="N518">
        <v>1.9319999999999999</v>
      </c>
      <c r="O518">
        <f>(Table1[[#This Row],[P]]&lt;&gt;0)*(Table1[[#This Row],[C]]&lt;&gt;0)</f>
        <v>0</v>
      </c>
      <c r="P518">
        <f>NETWORKDAYS(Table1[[#This Row],[ts_event]],Table1[[#This Row],[option_expiry_date]])</f>
        <v>18</v>
      </c>
      <c r="Q518">
        <f>Table1[[#This Row],[Column2]]/252</f>
        <v>7.1428571428571425E-2</v>
      </c>
      <c r="R518" s="2" t="e">
        <f>IF(Table1[[#This Row],[CHECK2]]=0,NA(),
-(1/Table1[[#This Row],[T]])*LN((Table1[[#This Row],[S0]]-Table1[[#This Row],[C]]+Table1[[#This Row],[P]])/Table1[[#This Row],[K]])
)</f>
        <v>#N/A</v>
      </c>
    </row>
    <row r="519" spans="1:18">
      <c r="A519">
        <v>1</v>
      </c>
      <c r="B519" t="s">
        <v>10</v>
      </c>
      <c r="C519" s="1">
        <v>46146</v>
      </c>
      <c r="D519" t="s">
        <v>14</v>
      </c>
      <c r="E519">
        <v>45</v>
      </c>
      <c r="F519" t="s">
        <v>12</v>
      </c>
      <c r="G519" t="s">
        <v>13</v>
      </c>
      <c r="H519" s="1">
        <v>46169</v>
      </c>
      <c r="I519">
        <v>0</v>
      </c>
      <c r="J519">
        <v>4.96</v>
      </c>
      <c r="K519">
        <v>0</v>
      </c>
      <c r="L519">
        <v>150</v>
      </c>
      <c r="M519">
        <v>49.0002283820697</v>
      </c>
      <c r="N519">
        <v>1.9319999999999999</v>
      </c>
      <c r="O519">
        <f>(Table1[[#This Row],[P]]&lt;&gt;0)*(Table1[[#This Row],[C]]&lt;&gt;0)</f>
        <v>0</v>
      </c>
      <c r="P519">
        <f>NETWORKDAYS(Table1[[#This Row],[ts_event]],Table1[[#This Row],[option_expiry_date]])</f>
        <v>18</v>
      </c>
      <c r="Q519">
        <f>Table1[[#This Row],[Column2]]/252</f>
        <v>7.1428571428571425E-2</v>
      </c>
      <c r="R519" s="2" t="e">
        <f>IF(Table1[[#This Row],[CHECK2]]=0,NA(),
-(1/Table1[[#This Row],[T]])*LN((Table1[[#This Row],[S0]]-Table1[[#This Row],[C]]+Table1[[#This Row],[P]])/Table1[[#This Row],[K]])
)</f>
        <v>#N/A</v>
      </c>
    </row>
    <row r="520" spans="1:18">
      <c r="A520">
        <v>1</v>
      </c>
      <c r="B520" t="s">
        <v>10</v>
      </c>
      <c r="C520" s="1">
        <v>46146</v>
      </c>
      <c r="D520" t="s">
        <v>14</v>
      </c>
      <c r="E520">
        <v>47</v>
      </c>
      <c r="F520" t="s">
        <v>12</v>
      </c>
      <c r="G520" t="s">
        <v>13</v>
      </c>
      <c r="H520" s="1">
        <v>46169</v>
      </c>
      <c r="I520">
        <v>0</v>
      </c>
      <c r="J520">
        <v>5</v>
      </c>
      <c r="K520">
        <v>0</v>
      </c>
      <c r="L520">
        <v>5</v>
      </c>
      <c r="M520">
        <v>49.0002283820697</v>
      </c>
      <c r="N520">
        <v>1.9319999999999999</v>
      </c>
      <c r="O520">
        <f>(Table1[[#This Row],[P]]&lt;&gt;0)*(Table1[[#This Row],[C]]&lt;&gt;0)</f>
        <v>0</v>
      </c>
      <c r="P520">
        <f>NETWORKDAYS(Table1[[#This Row],[ts_event]],Table1[[#This Row],[option_expiry_date]])</f>
        <v>18</v>
      </c>
      <c r="Q520">
        <f>Table1[[#This Row],[Column2]]/252</f>
        <v>7.1428571428571425E-2</v>
      </c>
      <c r="R520" s="2" t="e">
        <f>IF(Table1[[#This Row],[CHECK2]]=0,NA(),
-(1/Table1[[#This Row],[T]])*LN((Table1[[#This Row],[S0]]-Table1[[#This Row],[C]]+Table1[[#This Row],[P]])/Table1[[#This Row],[K]])
)</f>
        <v>#N/A</v>
      </c>
    </row>
    <row r="521" spans="1:18">
      <c r="A521">
        <v>2</v>
      </c>
      <c r="B521" t="s">
        <v>10</v>
      </c>
      <c r="C521" s="1">
        <v>46146</v>
      </c>
      <c r="D521" t="s">
        <v>14</v>
      </c>
      <c r="E521">
        <v>50</v>
      </c>
      <c r="F521" t="s">
        <v>12</v>
      </c>
      <c r="G521" t="s">
        <v>13</v>
      </c>
      <c r="H521" s="1">
        <v>46169</v>
      </c>
      <c r="I521">
        <v>0</v>
      </c>
      <c r="J521">
        <v>3.40072463768115</v>
      </c>
      <c r="K521">
        <v>0</v>
      </c>
      <c r="L521">
        <v>2070</v>
      </c>
      <c r="M521">
        <v>49.0002283820697</v>
      </c>
      <c r="N521">
        <v>1.9319999999999999</v>
      </c>
      <c r="O521">
        <f>(Table1[[#This Row],[P]]&lt;&gt;0)*(Table1[[#This Row],[C]]&lt;&gt;0)</f>
        <v>0</v>
      </c>
      <c r="P521">
        <f>NETWORKDAYS(Table1[[#This Row],[ts_event]],Table1[[#This Row],[option_expiry_date]])</f>
        <v>18</v>
      </c>
      <c r="Q521">
        <f>Table1[[#This Row],[Column2]]/252</f>
        <v>7.1428571428571425E-2</v>
      </c>
      <c r="R521" s="2" t="e">
        <f>IF(Table1[[#This Row],[CHECK2]]=0,NA(),
-(1/Table1[[#This Row],[T]])*LN((Table1[[#This Row],[S0]]-Table1[[#This Row],[C]]+Table1[[#This Row],[P]])/Table1[[#This Row],[K]])
)</f>
        <v>#N/A</v>
      </c>
    </row>
    <row r="522" spans="1:18">
      <c r="A522">
        <v>1</v>
      </c>
      <c r="B522" t="s">
        <v>10</v>
      </c>
      <c r="C522" s="1">
        <v>46146</v>
      </c>
      <c r="D522" t="s">
        <v>14</v>
      </c>
      <c r="E522">
        <v>51</v>
      </c>
      <c r="F522" t="s">
        <v>12</v>
      </c>
      <c r="G522" t="s">
        <v>13</v>
      </c>
      <c r="H522" s="1">
        <v>46169</v>
      </c>
      <c r="I522">
        <v>0</v>
      </c>
      <c r="J522">
        <v>3.35</v>
      </c>
      <c r="K522">
        <v>0</v>
      </c>
      <c r="L522">
        <v>25</v>
      </c>
      <c r="M522">
        <v>49.0002283820697</v>
      </c>
      <c r="N522">
        <v>1.9319999999999999</v>
      </c>
      <c r="O522">
        <f>(Table1[[#This Row],[P]]&lt;&gt;0)*(Table1[[#This Row],[C]]&lt;&gt;0)</f>
        <v>0</v>
      </c>
      <c r="P522">
        <f>NETWORKDAYS(Table1[[#This Row],[ts_event]],Table1[[#This Row],[option_expiry_date]])</f>
        <v>18</v>
      </c>
      <c r="Q522">
        <f>Table1[[#This Row],[Column2]]/252</f>
        <v>7.1428571428571425E-2</v>
      </c>
      <c r="R522" s="2" t="e">
        <f>IF(Table1[[#This Row],[CHECK2]]=0,NA(),
-(1/Table1[[#This Row],[T]])*LN((Table1[[#This Row],[S0]]-Table1[[#This Row],[C]]+Table1[[#This Row],[P]])/Table1[[#This Row],[K]])
)</f>
        <v>#N/A</v>
      </c>
    </row>
    <row r="523" spans="1:18">
      <c r="A523">
        <v>2</v>
      </c>
      <c r="B523" t="s">
        <v>10</v>
      </c>
      <c r="C523" s="1">
        <v>46146</v>
      </c>
      <c r="D523" t="s">
        <v>14</v>
      </c>
      <c r="E523">
        <v>55</v>
      </c>
      <c r="F523" t="s">
        <v>12</v>
      </c>
      <c r="G523" t="s">
        <v>13</v>
      </c>
      <c r="H523" s="1">
        <v>46169</v>
      </c>
      <c r="I523">
        <v>0</v>
      </c>
      <c r="J523">
        <v>2.0285185185185099</v>
      </c>
      <c r="K523">
        <v>0</v>
      </c>
      <c r="L523">
        <v>135</v>
      </c>
      <c r="M523">
        <v>49.0002283820697</v>
      </c>
      <c r="N523">
        <v>1.9319999999999999</v>
      </c>
      <c r="O523">
        <f>(Table1[[#This Row],[P]]&lt;&gt;0)*(Table1[[#This Row],[C]]&lt;&gt;0)</f>
        <v>0</v>
      </c>
      <c r="P523">
        <f>NETWORKDAYS(Table1[[#This Row],[ts_event]],Table1[[#This Row],[option_expiry_date]])</f>
        <v>18</v>
      </c>
      <c r="Q523">
        <f>Table1[[#This Row],[Column2]]/252</f>
        <v>7.1428571428571425E-2</v>
      </c>
      <c r="R523" s="2" t="e">
        <f>IF(Table1[[#This Row],[CHECK2]]=0,NA(),
-(1/Table1[[#This Row],[T]])*LN((Table1[[#This Row],[S0]]-Table1[[#This Row],[C]]+Table1[[#This Row],[P]])/Table1[[#This Row],[K]])
)</f>
        <v>#N/A</v>
      </c>
    </row>
    <row r="524" spans="1:18">
      <c r="A524">
        <v>2</v>
      </c>
      <c r="B524" t="s">
        <v>10</v>
      </c>
      <c r="C524" s="1">
        <v>46146</v>
      </c>
      <c r="D524" t="s">
        <v>14</v>
      </c>
      <c r="E524">
        <v>60</v>
      </c>
      <c r="F524" t="s">
        <v>12</v>
      </c>
      <c r="G524" t="s">
        <v>13</v>
      </c>
      <c r="H524" s="1">
        <v>46169</v>
      </c>
      <c r="I524">
        <v>0</v>
      </c>
      <c r="J524">
        <v>1.4975000000000001</v>
      </c>
      <c r="K524">
        <v>0</v>
      </c>
      <c r="L524">
        <v>480</v>
      </c>
      <c r="M524">
        <v>49.0002283820697</v>
      </c>
      <c r="N524">
        <v>1.9319999999999999</v>
      </c>
      <c r="O524">
        <f>(Table1[[#This Row],[P]]&lt;&gt;0)*(Table1[[#This Row],[C]]&lt;&gt;0)</f>
        <v>0</v>
      </c>
      <c r="P524">
        <f>NETWORKDAYS(Table1[[#This Row],[ts_event]],Table1[[#This Row],[option_expiry_date]])</f>
        <v>18</v>
      </c>
      <c r="Q524">
        <f>Table1[[#This Row],[Column2]]/252</f>
        <v>7.1428571428571425E-2</v>
      </c>
      <c r="R524" s="2" t="e">
        <f>IF(Table1[[#This Row],[CHECK2]]=0,NA(),
-(1/Table1[[#This Row],[T]])*LN((Table1[[#This Row],[S0]]-Table1[[#This Row],[C]]+Table1[[#This Row],[P]])/Table1[[#This Row],[K]])
)</f>
        <v>#N/A</v>
      </c>
    </row>
    <row r="525" spans="1:18">
      <c r="A525">
        <v>2</v>
      </c>
      <c r="B525" t="s">
        <v>10</v>
      </c>
      <c r="C525" s="1">
        <v>46146</v>
      </c>
      <c r="D525" t="s">
        <v>14</v>
      </c>
      <c r="E525">
        <v>65</v>
      </c>
      <c r="F525" t="s">
        <v>12</v>
      </c>
      <c r="G525" t="s">
        <v>13</v>
      </c>
      <c r="H525" s="1">
        <v>46169</v>
      </c>
      <c r="I525">
        <v>0</v>
      </c>
      <c r="J525">
        <v>1.1517241379310299</v>
      </c>
      <c r="K525">
        <v>0</v>
      </c>
      <c r="L525">
        <v>145</v>
      </c>
      <c r="M525">
        <v>49.0002283820697</v>
      </c>
      <c r="N525">
        <v>1.9319999999999999</v>
      </c>
      <c r="O525">
        <f>(Table1[[#This Row],[P]]&lt;&gt;0)*(Table1[[#This Row],[C]]&lt;&gt;0)</f>
        <v>0</v>
      </c>
      <c r="P525">
        <f>NETWORKDAYS(Table1[[#This Row],[ts_event]],Table1[[#This Row],[option_expiry_date]])</f>
        <v>18</v>
      </c>
      <c r="Q525">
        <f>Table1[[#This Row],[Column2]]/252</f>
        <v>7.1428571428571425E-2</v>
      </c>
      <c r="R525" s="2" t="e">
        <f>IF(Table1[[#This Row],[CHECK2]]=0,NA(),
-(1/Table1[[#This Row],[T]])*LN((Table1[[#This Row],[S0]]-Table1[[#This Row],[C]]+Table1[[#This Row],[P]])/Table1[[#This Row],[K]])
)</f>
        <v>#N/A</v>
      </c>
    </row>
    <row r="526" spans="1:18">
      <c r="A526">
        <v>2</v>
      </c>
      <c r="B526" t="s">
        <v>10</v>
      </c>
      <c r="C526" s="1">
        <v>46146</v>
      </c>
      <c r="D526" t="s">
        <v>14</v>
      </c>
      <c r="E526">
        <v>70</v>
      </c>
      <c r="F526" t="s">
        <v>12</v>
      </c>
      <c r="G526" t="s">
        <v>13</v>
      </c>
      <c r="H526" s="1">
        <v>46169</v>
      </c>
      <c r="I526">
        <v>0</v>
      </c>
      <c r="J526">
        <v>0.90499999999999903</v>
      </c>
      <c r="K526">
        <v>0</v>
      </c>
      <c r="L526">
        <v>400</v>
      </c>
      <c r="M526">
        <v>49.0002283820697</v>
      </c>
      <c r="N526">
        <v>1.9319999999999999</v>
      </c>
      <c r="O526">
        <f>(Table1[[#This Row],[P]]&lt;&gt;0)*(Table1[[#This Row],[C]]&lt;&gt;0)</f>
        <v>0</v>
      </c>
      <c r="P526">
        <f>NETWORKDAYS(Table1[[#This Row],[ts_event]],Table1[[#This Row],[option_expiry_date]])</f>
        <v>18</v>
      </c>
      <c r="Q526">
        <f>Table1[[#This Row],[Column2]]/252</f>
        <v>7.1428571428571425E-2</v>
      </c>
      <c r="R526" s="2" t="e">
        <f>IF(Table1[[#This Row],[CHECK2]]=0,NA(),
-(1/Table1[[#This Row],[T]])*LN((Table1[[#This Row],[S0]]-Table1[[#This Row],[C]]+Table1[[#This Row],[P]])/Table1[[#This Row],[K]])
)</f>
        <v>#N/A</v>
      </c>
    </row>
    <row r="527" spans="1:18">
      <c r="A527">
        <v>1</v>
      </c>
      <c r="B527" t="s">
        <v>10</v>
      </c>
      <c r="C527" s="1">
        <v>46146</v>
      </c>
      <c r="D527" t="s">
        <v>14</v>
      </c>
      <c r="E527">
        <v>75</v>
      </c>
      <c r="F527" t="s">
        <v>12</v>
      </c>
      <c r="G527" t="s">
        <v>13</v>
      </c>
      <c r="H527" s="1">
        <v>46169</v>
      </c>
      <c r="I527">
        <v>0</v>
      </c>
      <c r="J527">
        <v>0.68500000000000005</v>
      </c>
      <c r="K527">
        <v>0</v>
      </c>
      <c r="L527">
        <v>600</v>
      </c>
      <c r="M527">
        <v>49.0002283820697</v>
      </c>
      <c r="N527">
        <v>1.9319999999999999</v>
      </c>
      <c r="O527">
        <f>(Table1[[#This Row],[P]]&lt;&gt;0)*(Table1[[#This Row],[C]]&lt;&gt;0)</f>
        <v>0</v>
      </c>
      <c r="P527">
        <f>NETWORKDAYS(Table1[[#This Row],[ts_event]],Table1[[#This Row],[option_expiry_date]])</f>
        <v>18</v>
      </c>
      <c r="Q527">
        <f>Table1[[#This Row],[Column2]]/252</f>
        <v>7.1428571428571425E-2</v>
      </c>
      <c r="R527" s="2" t="e">
        <f>IF(Table1[[#This Row],[CHECK2]]=0,NA(),
-(1/Table1[[#This Row],[T]])*LN((Table1[[#This Row],[S0]]-Table1[[#This Row],[C]]+Table1[[#This Row],[P]])/Table1[[#This Row],[K]])
)</f>
        <v>#N/A</v>
      </c>
    </row>
    <row r="528" spans="1:18">
      <c r="A528">
        <v>1</v>
      </c>
      <c r="B528" t="s">
        <v>10</v>
      </c>
      <c r="C528" s="1">
        <v>46146</v>
      </c>
      <c r="D528" t="s">
        <v>14</v>
      </c>
      <c r="E528">
        <v>120</v>
      </c>
      <c r="F528" t="s">
        <v>12</v>
      </c>
      <c r="G528" t="s">
        <v>13</v>
      </c>
      <c r="H528" s="1">
        <v>46169</v>
      </c>
      <c r="I528">
        <v>0</v>
      </c>
      <c r="J528">
        <v>0.25</v>
      </c>
      <c r="K528">
        <v>0</v>
      </c>
      <c r="L528">
        <v>80</v>
      </c>
      <c r="M528">
        <v>49.0002283820697</v>
      </c>
      <c r="N528">
        <v>1.9319999999999999</v>
      </c>
      <c r="O528">
        <f>(Table1[[#This Row],[P]]&lt;&gt;0)*(Table1[[#This Row],[C]]&lt;&gt;0)</f>
        <v>0</v>
      </c>
      <c r="P528">
        <f>NETWORKDAYS(Table1[[#This Row],[ts_event]],Table1[[#This Row],[option_expiry_date]])</f>
        <v>18</v>
      </c>
      <c r="Q528">
        <f>Table1[[#This Row],[Column2]]/252</f>
        <v>7.1428571428571425E-2</v>
      </c>
      <c r="R528" s="2" t="e">
        <f>IF(Table1[[#This Row],[CHECK2]]=0,NA(),
-(1/Table1[[#This Row],[T]])*LN((Table1[[#This Row],[S0]]-Table1[[#This Row],[C]]+Table1[[#This Row],[P]])/Table1[[#This Row],[K]])
)</f>
        <v>#N/A</v>
      </c>
    </row>
    <row r="529" spans="1:18">
      <c r="A529">
        <v>1</v>
      </c>
      <c r="B529" t="s">
        <v>10</v>
      </c>
      <c r="C529" s="1">
        <v>46146</v>
      </c>
      <c r="D529" t="s">
        <v>15</v>
      </c>
      <c r="E529">
        <v>30</v>
      </c>
      <c r="F529" t="s">
        <v>12</v>
      </c>
      <c r="G529" t="s">
        <v>13</v>
      </c>
      <c r="H529" s="1">
        <v>46199</v>
      </c>
      <c r="I529">
        <v>0.27500000000000002</v>
      </c>
      <c r="J529">
        <v>0</v>
      </c>
      <c r="K529">
        <v>500</v>
      </c>
      <c r="L529">
        <v>0</v>
      </c>
      <c r="M529">
        <v>48.539990915786802</v>
      </c>
      <c r="N529">
        <v>1.9319999999999999</v>
      </c>
      <c r="O529">
        <f>(Table1[[#This Row],[P]]&lt;&gt;0)*(Table1[[#This Row],[C]]&lt;&gt;0)</f>
        <v>0</v>
      </c>
      <c r="P529">
        <f>NETWORKDAYS(Table1[[#This Row],[ts_event]],Table1[[#This Row],[option_expiry_date]])</f>
        <v>40</v>
      </c>
      <c r="Q529">
        <f>Table1[[#This Row],[Column2]]/252</f>
        <v>0.15873015873015872</v>
      </c>
      <c r="R529" s="2" t="e">
        <f>IF(Table1[[#This Row],[CHECK2]]=0,NA(),
-(1/Table1[[#This Row],[T]])*LN((Table1[[#This Row],[S0]]-Table1[[#This Row],[C]]+Table1[[#This Row],[P]])/Table1[[#This Row],[K]])
)</f>
        <v>#N/A</v>
      </c>
    </row>
    <row r="530" spans="1:18">
      <c r="A530">
        <v>1</v>
      </c>
      <c r="B530" t="s">
        <v>10</v>
      </c>
      <c r="C530" s="1">
        <v>46146</v>
      </c>
      <c r="D530" t="s">
        <v>15</v>
      </c>
      <c r="E530">
        <v>35</v>
      </c>
      <c r="F530" t="s">
        <v>12</v>
      </c>
      <c r="G530" t="s">
        <v>13</v>
      </c>
      <c r="H530" s="1">
        <v>46199</v>
      </c>
      <c r="I530">
        <v>0.85</v>
      </c>
      <c r="J530">
        <v>0</v>
      </c>
      <c r="K530">
        <v>500</v>
      </c>
      <c r="L530">
        <v>0</v>
      </c>
      <c r="M530">
        <v>48.539990915786802</v>
      </c>
      <c r="N530">
        <v>1.9319999999999999</v>
      </c>
      <c r="O530">
        <f>(Table1[[#This Row],[P]]&lt;&gt;0)*(Table1[[#This Row],[C]]&lt;&gt;0)</f>
        <v>0</v>
      </c>
      <c r="P530">
        <f>NETWORKDAYS(Table1[[#This Row],[ts_event]],Table1[[#This Row],[option_expiry_date]])</f>
        <v>40</v>
      </c>
      <c r="Q530">
        <f>Table1[[#This Row],[Column2]]/252</f>
        <v>0.15873015873015872</v>
      </c>
      <c r="R530" s="2" t="e">
        <f>IF(Table1[[#This Row],[CHECK2]]=0,NA(),
-(1/Table1[[#This Row],[T]])*LN((Table1[[#This Row],[S0]]-Table1[[#This Row],[C]]+Table1[[#This Row],[P]])/Table1[[#This Row],[K]])
)</f>
        <v>#N/A</v>
      </c>
    </row>
    <row r="531" spans="1:18">
      <c r="A531">
        <v>1</v>
      </c>
      <c r="B531" t="s">
        <v>10</v>
      </c>
      <c r="C531" s="1">
        <v>46146</v>
      </c>
      <c r="D531" t="s">
        <v>15</v>
      </c>
      <c r="E531">
        <v>55</v>
      </c>
      <c r="F531" t="s">
        <v>12</v>
      </c>
      <c r="G531" t="s">
        <v>13</v>
      </c>
      <c r="H531" s="1">
        <v>46199</v>
      </c>
      <c r="I531">
        <v>0</v>
      </c>
      <c r="J531">
        <v>3.7250000000000001</v>
      </c>
      <c r="K531">
        <v>0</v>
      </c>
      <c r="L531">
        <v>10</v>
      </c>
      <c r="M531">
        <v>48.539990915786802</v>
      </c>
      <c r="N531">
        <v>1.9319999999999999</v>
      </c>
      <c r="O531">
        <f>(Table1[[#This Row],[P]]&lt;&gt;0)*(Table1[[#This Row],[C]]&lt;&gt;0)</f>
        <v>0</v>
      </c>
      <c r="P531">
        <f>NETWORKDAYS(Table1[[#This Row],[ts_event]],Table1[[#This Row],[option_expiry_date]])</f>
        <v>40</v>
      </c>
      <c r="Q531">
        <f>Table1[[#This Row],[Column2]]/252</f>
        <v>0.15873015873015872</v>
      </c>
      <c r="R531" s="2" t="e">
        <f>IF(Table1[[#This Row],[CHECK2]]=0,NA(),
-(1/Table1[[#This Row],[T]])*LN((Table1[[#This Row],[S0]]-Table1[[#This Row],[C]]+Table1[[#This Row],[P]])/Table1[[#This Row],[K]])
)</f>
        <v>#N/A</v>
      </c>
    </row>
    <row r="532" spans="1:18">
      <c r="A532">
        <v>1</v>
      </c>
      <c r="B532" t="s">
        <v>10</v>
      </c>
      <c r="C532" s="1">
        <v>46146</v>
      </c>
      <c r="D532" t="s">
        <v>15</v>
      </c>
      <c r="E532">
        <v>68</v>
      </c>
      <c r="F532" t="s">
        <v>12</v>
      </c>
      <c r="G532" t="s">
        <v>13</v>
      </c>
      <c r="H532" s="1">
        <v>46199</v>
      </c>
      <c r="I532">
        <v>0</v>
      </c>
      <c r="J532">
        <v>2.74</v>
      </c>
      <c r="K532">
        <v>0</v>
      </c>
      <c r="L532">
        <v>15</v>
      </c>
      <c r="M532">
        <v>48.539990915786802</v>
      </c>
      <c r="N532">
        <v>1.9319999999999999</v>
      </c>
      <c r="O532">
        <f>(Table1[[#This Row],[P]]&lt;&gt;0)*(Table1[[#This Row],[C]]&lt;&gt;0)</f>
        <v>0</v>
      </c>
      <c r="P532">
        <f>NETWORKDAYS(Table1[[#This Row],[ts_event]],Table1[[#This Row],[option_expiry_date]])</f>
        <v>40</v>
      </c>
      <c r="Q532">
        <f>Table1[[#This Row],[Column2]]/252</f>
        <v>0.15873015873015872</v>
      </c>
      <c r="R532" s="2" t="e">
        <f>IF(Table1[[#This Row],[CHECK2]]=0,NA(),
-(1/Table1[[#This Row],[T]])*LN((Table1[[#This Row],[S0]]-Table1[[#This Row],[C]]+Table1[[#This Row],[P]])/Table1[[#This Row],[K]])
)</f>
        <v>#N/A</v>
      </c>
    </row>
    <row r="533" spans="1:18">
      <c r="A533">
        <v>1</v>
      </c>
      <c r="B533" t="s">
        <v>10</v>
      </c>
      <c r="C533" s="1">
        <v>46146</v>
      </c>
      <c r="D533" t="s">
        <v>16</v>
      </c>
      <c r="E533">
        <v>70</v>
      </c>
      <c r="F533" t="s">
        <v>12</v>
      </c>
      <c r="G533" t="s">
        <v>13</v>
      </c>
      <c r="H533" s="1">
        <v>46230</v>
      </c>
      <c r="I533">
        <v>0</v>
      </c>
      <c r="J533">
        <v>3</v>
      </c>
      <c r="K533">
        <v>0</v>
      </c>
      <c r="L533">
        <v>240</v>
      </c>
      <c r="M533">
        <v>48.336223657375903</v>
      </c>
      <c r="N533">
        <v>1.9319999999999999</v>
      </c>
      <c r="O533">
        <f>(Table1[[#This Row],[P]]&lt;&gt;0)*(Table1[[#This Row],[C]]&lt;&gt;0)</f>
        <v>0</v>
      </c>
      <c r="P533">
        <f>NETWORKDAYS(Table1[[#This Row],[ts_event]],Table1[[#This Row],[option_expiry_date]])</f>
        <v>61</v>
      </c>
      <c r="Q533">
        <f>Table1[[#This Row],[Column2]]/252</f>
        <v>0.24206349206349206</v>
      </c>
      <c r="R533" s="2" t="e">
        <f>IF(Table1[[#This Row],[CHECK2]]=0,NA(),
-(1/Table1[[#This Row],[T]])*LN((Table1[[#This Row],[S0]]-Table1[[#This Row],[C]]+Table1[[#This Row],[P]])/Table1[[#This Row],[K]])
)</f>
        <v>#N/A</v>
      </c>
    </row>
    <row r="534" spans="1:18">
      <c r="A534">
        <v>1</v>
      </c>
      <c r="B534" t="s">
        <v>10</v>
      </c>
      <c r="C534" s="1">
        <v>46146</v>
      </c>
      <c r="D534" t="s">
        <v>17</v>
      </c>
      <c r="E534">
        <v>25</v>
      </c>
      <c r="F534" t="s">
        <v>12</v>
      </c>
      <c r="G534" t="s">
        <v>13</v>
      </c>
      <c r="H534" s="1">
        <v>46260</v>
      </c>
      <c r="I534">
        <v>0.23</v>
      </c>
      <c r="J534">
        <v>0</v>
      </c>
      <c r="K534">
        <v>200</v>
      </c>
      <c r="L534">
        <v>0</v>
      </c>
      <c r="M534">
        <v>48.365842135906099</v>
      </c>
      <c r="N534">
        <v>1.9319999999999999</v>
      </c>
      <c r="O534">
        <f>(Table1[[#This Row],[P]]&lt;&gt;0)*(Table1[[#This Row],[C]]&lt;&gt;0)</f>
        <v>0</v>
      </c>
      <c r="P534">
        <f>NETWORKDAYS(Table1[[#This Row],[ts_event]],Table1[[#This Row],[option_expiry_date]])</f>
        <v>83</v>
      </c>
      <c r="Q534">
        <f>Table1[[#This Row],[Column2]]/252</f>
        <v>0.32936507936507936</v>
      </c>
      <c r="R534" s="2" t="e">
        <f>IF(Table1[[#This Row],[CHECK2]]=0,NA(),
-(1/Table1[[#This Row],[T]])*LN((Table1[[#This Row],[S0]]-Table1[[#This Row],[C]]+Table1[[#This Row],[P]])/Table1[[#This Row],[K]])
)</f>
        <v>#N/A</v>
      </c>
    </row>
    <row r="535" spans="1:18">
      <c r="A535">
        <v>1</v>
      </c>
      <c r="B535" t="s">
        <v>10</v>
      </c>
      <c r="C535" s="1">
        <v>46146</v>
      </c>
      <c r="D535" t="s">
        <v>17</v>
      </c>
      <c r="E535">
        <v>75</v>
      </c>
      <c r="F535" t="s">
        <v>12</v>
      </c>
      <c r="G535" t="s">
        <v>13</v>
      </c>
      <c r="H535" s="1">
        <v>46260</v>
      </c>
      <c r="I535">
        <v>0</v>
      </c>
      <c r="J535">
        <v>3.5</v>
      </c>
      <c r="K535">
        <v>0</v>
      </c>
      <c r="L535">
        <v>25</v>
      </c>
      <c r="M535">
        <v>48.365842135906099</v>
      </c>
      <c r="N535">
        <v>1.9319999999999999</v>
      </c>
      <c r="O535">
        <f>(Table1[[#This Row],[P]]&lt;&gt;0)*(Table1[[#This Row],[C]]&lt;&gt;0)</f>
        <v>0</v>
      </c>
      <c r="P535">
        <f>NETWORKDAYS(Table1[[#This Row],[ts_event]],Table1[[#This Row],[option_expiry_date]])</f>
        <v>83</v>
      </c>
      <c r="Q535">
        <f>Table1[[#This Row],[Column2]]/252</f>
        <v>0.32936507936507936</v>
      </c>
      <c r="R535" s="2" t="e">
        <f>IF(Table1[[#This Row],[CHECK2]]=0,NA(),
-(1/Table1[[#This Row],[T]])*LN((Table1[[#This Row],[S0]]-Table1[[#This Row],[C]]+Table1[[#This Row],[P]])/Table1[[#This Row],[K]])
)</f>
        <v>#N/A</v>
      </c>
    </row>
    <row r="536" spans="1:18">
      <c r="A536">
        <v>1</v>
      </c>
      <c r="B536" t="s">
        <v>10</v>
      </c>
      <c r="C536" s="1">
        <v>46146</v>
      </c>
      <c r="D536" t="s">
        <v>17</v>
      </c>
      <c r="E536">
        <v>100</v>
      </c>
      <c r="F536" t="s">
        <v>12</v>
      </c>
      <c r="G536" t="s">
        <v>13</v>
      </c>
      <c r="H536" s="1">
        <v>46260</v>
      </c>
      <c r="I536">
        <v>0</v>
      </c>
      <c r="J536">
        <v>1.91</v>
      </c>
      <c r="K536">
        <v>0</v>
      </c>
      <c r="L536">
        <v>25</v>
      </c>
      <c r="M536">
        <v>48.365842135906099</v>
      </c>
      <c r="N536">
        <v>1.9319999999999999</v>
      </c>
      <c r="O536">
        <f>(Table1[[#This Row],[P]]&lt;&gt;0)*(Table1[[#This Row],[C]]&lt;&gt;0)</f>
        <v>0</v>
      </c>
      <c r="P536">
        <f>NETWORKDAYS(Table1[[#This Row],[ts_event]],Table1[[#This Row],[option_expiry_date]])</f>
        <v>83</v>
      </c>
      <c r="Q536">
        <f>Table1[[#This Row],[Column2]]/252</f>
        <v>0.32936507936507936</v>
      </c>
      <c r="R536" s="2" t="e">
        <f>IF(Table1[[#This Row],[CHECK2]]=0,NA(),
-(1/Table1[[#This Row],[T]])*LN((Table1[[#This Row],[S0]]-Table1[[#This Row],[C]]+Table1[[#This Row],[P]])/Table1[[#This Row],[K]])
)</f>
        <v>#N/A</v>
      </c>
    </row>
    <row r="537" spans="1:18">
      <c r="A537">
        <v>2</v>
      </c>
      <c r="B537" t="s">
        <v>10</v>
      </c>
      <c r="C537" s="1">
        <v>46147</v>
      </c>
      <c r="D537" t="s">
        <v>14</v>
      </c>
      <c r="E537">
        <v>30</v>
      </c>
      <c r="F537" t="s">
        <v>12</v>
      </c>
      <c r="G537" t="s">
        <v>13</v>
      </c>
      <c r="H537" s="1">
        <v>46169</v>
      </c>
      <c r="I537">
        <v>5.32258064516129E-2</v>
      </c>
      <c r="J537">
        <v>0</v>
      </c>
      <c r="K537">
        <v>1550</v>
      </c>
      <c r="L537">
        <v>0</v>
      </c>
      <c r="M537">
        <v>46.409908667424702</v>
      </c>
      <c r="N537">
        <v>1.9319999999999999</v>
      </c>
      <c r="O537">
        <f>(Table1[[#This Row],[P]]&lt;&gt;0)*(Table1[[#This Row],[C]]&lt;&gt;0)</f>
        <v>0</v>
      </c>
      <c r="P537">
        <f>NETWORKDAYS(Table1[[#This Row],[ts_event]],Table1[[#This Row],[option_expiry_date]])</f>
        <v>17</v>
      </c>
      <c r="Q537">
        <f>Table1[[#This Row],[Column2]]/252</f>
        <v>6.7460317460317457E-2</v>
      </c>
      <c r="R537" s="2" t="e">
        <f>IF(Table1[[#This Row],[CHECK2]]=0,NA(),
-(1/Table1[[#This Row],[T]])*LN((Table1[[#This Row],[S0]]-Table1[[#This Row],[C]]+Table1[[#This Row],[P]])/Table1[[#This Row],[K]])
)</f>
        <v>#N/A</v>
      </c>
    </row>
    <row r="538" spans="1:18">
      <c r="A538">
        <v>1</v>
      </c>
      <c r="B538" t="s">
        <v>10</v>
      </c>
      <c r="C538" s="1">
        <v>46147</v>
      </c>
      <c r="D538" t="s">
        <v>14</v>
      </c>
      <c r="E538">
        <v>33</v>
      </c>
      <c r="F538" t="s">
        <v>12</v>
      </c>
      <c r="G538" t="s">
        <v>13</v>
      </c>
      <c r="H538" s="1">
        <v>46169</v>
      </c>
      <c r="I538">
        <v>0.13500000000000001</v>
      </c>
      <c r="J538">
        <v>0</v>
      </c>
      <c r="K538">
        <v>200</v>
      </c>
      <c r="L538">
        <v>0</v>
      </c>
      <c r="M538">
        <v>46.409908667424702</v>
      </c>
      <c r="N538">
        <v>1.9319999999999999</v>
      </c>
      <c r="O538">
        <f>(Table1[[#This Row],[P]]&lt;&gt;0)*(Table1[[#This Row],[C]]&lt;&gt;0)</f>
        <v>0</v>
      </c>
      <c r="P538">
        <f>NETWORKDAYS(Table1[[#This Row],[ts_event]],Table1[[#This Row],[option_expiry_date]])</f>
        <v>17</v>
      </c>
      <c r="Q538">
        <f>Table1[[#This Row],[Column2]]/252</f>
        <v>6.7460317460317457E-2</v>
      </c>
      <c r="R538" s="2" t="e">
        <f>IF(Table1[[#This Row],[CHECK2]]=0,NA(),
-(1/Table1[[#This Row],[T]])*LN((Table1[[#This Row],[S0]]-Table1[[#This Row],[C]]+Table1[[#This Row],[P]])/Table1[[#This Row],[K]])
)</f>
        <v>#N/A</v>
      </c>
    </row>
    <row r="539" spans="1:18">
      <c r="A539">
        <v>2</v>
      </c>
      <c r="B539" t="s">
        <v>10</v>
      </c>
      <c r="C539" s="1">
        <v>46147</v>
      </c>
      <c r="D539" t="s">
        <v>14</v>
      </c>
      <c r="E539">
        <v>35</v>
      </c>
      <c r="F539" t="s">
        <v>12</v>
      </c>
      <c r="G539" t="s">
        <v>13</v>
      </c>
      <c r="H539" s="1">
        <v>46169</v>
      </c>
      <c r="I539">
        <v>0.2</v>
      </c>
      <c r="J539">
        <v>0</v>
      </c>
      <c r="K539">
        <v>1450</v>
      </c>
      <c r="L539">
        <v>0</v>
      </c>
      <c r="M539">
        <v>46.409908667424702</v>
      </c>
      <c r="N539">
        <v>1.9319999999999999</v>
      </c>
      <c r="O539">
        <f>(Table1[[#This Row],[P]]&lt;&gt;0)*(Table1[[#This Row],[C]]&lt;&gt;0)</f>
        <v>0</v>
      </c>
      <c r="P539">
        <f>NETWORKDAYS(Table1[[#This Row],[ts_event]],Table1[[#This Row],[option_expiry_date]])</f>
        <v>17</v>
      </c>
      <c r="Q539">
        <f>Table1[[#This Row],[Column2]]/252</f>
        <v>6.7460317460317457E-2</v>
      </c>
      <c r="R539" s="2" t="e">
        <f>IF(Table1[[#This Row],[CHECK2]]=0,NA(),
-(1/Table1[[#This Row],[T]])*LN((Table1[[#This Row],[S0]]-Table1[[#This Row],[C]]+Table1[[#This Row],[P]])/Table1[[#This Row],[K]])
)</f>
        <v>#N/A</v>
      </c>
    </row>
    <row r="540" spans="1:18">
      <c r="A540">
        <v>1</v>
      </c>
      <c r="B540" t="s">
        <v>10</v>
      </c>
      <c r="C540" s="1">
        <v>46147</v>
      </c>
      <c r="D540" t="s">
        <v>14</v>
      </c>
      <c r="E540">
        <v>37</v>
      </c>
      <c r="F540" t="s">
        <v>12</v>
      </c>
      <c r="G540" t="s">
        <v>13</v>
      </c>
      <c r="H540" s="1">
        <v>46169</v>
      </c>
      <c r="I540">
        <v>0.37</v>
      </c>
      <c r="J540">
        <v>0</v>
      </c>
      <c r="K540">
        <v>700</v>
      </c>
      <c r="L540">
        <v>0</v>
      </c>
      <c r="M540">
        <v>46.409908667424702</v>
      </c>
      <c r="N540">
        <v>1.9319999999999999</v>
      </c>
      <c r="O540">
        <f>(Table1[[#This Row],[P]]&lt;&gt;0)*(Table1[[#This Row],[C]]&lt;&gt;0)</f>
        <v>0</v>
      </c>
      <c r="P540">
        <f>NETWORKDAYS(Table1[[#This Row],[ts_event]],Table1[[#This Row],[option_expiry_date]])</f>
        <v>17</v>
      </c>
      <c r="Q540">
        <f>Table1[[#This Row],[Column2]]/252</f>
        <v>6.7460317460317457E-2</v>
      </c>
      <c r="R540" s="2" t="e">
        <f>IF(Table1[[#This Row],[CHECK2]]=0,NA(),
-(1/Table1[[#This Row],[T]])*LN((Table1[[#This Row],[S0]]-Table1[[#This Row],[C]]+Table1[[#This Row],[P]])/Table1[[#This Row],[K]])
)</f>
        <v>#N/A</v>
      </c>
    </row>
    <row r="541" spans="1:18">
      <c r="A541">
        <v>1</v>
      </c>
      <c r="B541" t="s">
        <v>10</v>
      </c>
      <c r="C541" s="1">
        <v>46147</v>
      </c>
      <c r="D541" t="s">
        <v>14</v>
      </c>
      <c r="E541">
        <v>39</v>
      </c>
      <c r="F541" t="s">
        <v>12</v>
      </c>
      <c r="G541" t="s">
        <v>13</v>
      </c>
      <c r="H541" s="1">
        <v>46169</v>
      </c>
      <c r="I541">
        <v>0.69499999999999995</v>
      </c>
      <c r="J541">
        <v>0</v>
      </c>
      <c r="K541">
        <v>200</v>
      </c>
      <c r="L541">
        <v>0</v>
      </c>
      <c r="M541">
        <v>46.409908667424702</v>
      </c>
      <c r="N541">
        <v>1.9319999999999999</v>
      </c>
      <c r="O541">
        <f>(Table1[[#This Row],[P]]&lt;&gt;0)*(Table1[[#This Row],[C]]&lt;&gt;0)</f>
        <v>0</v>
      </c>
      <c r="P541">
        <f>NETWORKDAYS(Table1[[#This Row],[ts_event]],Table1[[#This Row],[option_expiry_date]])</f>
        <v>17</v>
      </c>
      <c r="Q541">
        <f>Table1[[#This Row],[Column2]]/252</f>
        <v>6.7460317460317457E-2</v>
      </c>
      <c r="R541" s="2" t="e">
        <f>IF(Table1[[#This Row],[CHECK2]]=0,NA(),
-(1/Table1[[#This Row],[T]])*LN((Table1[[#This Row],[S0]]-Table1[[#This Row],[C]]+Table1[[#This Row],[P]])/Table1[[#This Row],[K]])
)</f>
        <v>#N/A</v>
      </c>
    </row>
    <row r="542" spans="1:18">
      <c r="A542">
        <v>2</v>
      </c>
      <c r="B542" t="s">
        <v>10</v>
      </c>
      <c r="C542" s="1">
        <v>46147</v>
      </c>
      <c r="D542" t="s">
        <v>14</v>
      </c>
      <c r="E542">
        <v>40</v>
      </c>
      <c r="F542" t="s">
        <v>12</v>
      </c>
      <c r="G542" t="s">
        <v>13</v>
      </c>
      <c r="H542" s="1">
        <v>46169</v>
      </c>
      <c r="I542">
        <v>0.98450704225352104</v>
      </c>
      <c r="J542">
        <v>0</v>
      </c>
      <c r="K542">
        <v>710</v>
      </c>
      <c r="L542">
        <v>0</v>
      </c>
      <c r="M542">
        <v>46.409908667424702</v>
      </c>
      <c r="N542">
        <v>1.9319999999999999</v>
      </c>
      <c r="O542">
        <f>(Table1[[#This Row],[P]]&lt;&gt;0)*(Table1[[#This Row],[C]]&lt;&gt;0)</f>
        <v>0</v>
      </c>
      <c r="P542">
        <f>NETWORKDAYS(Table1[[#This Row],[ts_event]],Table1[[#This Row],[option_expiry_date]])</f>
        <v>17</v>
      </c>
      <c r="Q542">
        <f>Table1[[#This Row],[Column2]]/252</f>
        <v>6.7460317460317457E-2</v>
      </c>
      <c r="R542" s="2" t="e">
        <f>IF(Table1[[#This Row],[CHECK2]]=0,NA(),
-(1/Table1[[#This Row],[T]])*LN((Table1[[#This Row],[S0]]-Table1[[#This Row],[C]]+Table1[[#This Row],[P]])/Table1[[#This Row],[K]])
)</f>
        <v>#N/A</v>
      </c>
    </row>
    <row r="543" spans="1:18">
      <c r="A543">
        <v>2</v>
      </c>
      <c r="B543" t="s">
        <v>10</v>
      </c>
      <c r="C543" s="1">
        <v>46147</v>
      </c>
      <c r="D543" t="s">
        <v>14</v>
      </c>
      <c r="E543">
        <v>42</v>
      </c>
      <c r="F543" t="s">
        <v>12</v>
      </c>
      <c r="G543" t="s">
        <v>13</v>
      </c>
      <c r="H543" s="1">
        <v>46169</v>
      </c>
      <c r="I543">
        <v>1.55028503562945</v>
      </c>
      <c r="J543">
        <v>0</v>
      </c>
      <c r="K543">
        <v>2105</v>
      </c>
      <c r="L543">
        <v>0</v>
      </c>
      <c r="M543">
        <v>46.409908667424702</v>
      </c>
      <c r="N543">
        <v>1.9319999999999999</v>
      </c>
      <c r="O543">
        <f>(Table1[[#This Row],[P]]&lt;&gt;0)*(Table1[[#This Row],[C]]&lt;&gt;0)</f>
        <v>0</v>
      </c>
      <c r="P543">
        <f>NETWORKDAYS(Table1[[#This Row],[ts_event]],Table1[[#This Row],[option_expiry_date]])</f>
        <v>17</v>
      </c>
      <c r="Q543">
        <f>Table1[[#This Row],[Column2]]/252</f>
        <v>6.7460317460317457E-2</v>
      </c>
      <c r="R543" s="2" t="e">
        <f>IF(Table1[[#This Row],[CHECK2]]=0,NA(),
-(1/Table1[[#This Row],[T]])*LN((Table1[[#This Row],[S0]]-Table1[[#This Row],[C]]+Table1[[#This Row],[P]])/Table1[[#This Row],[K]])
)</f>
        <v>#N/A</v>
      </c>
    </row>
    <row r="544" spans="1:18">
      <c r="A544">
        <v>1</v>
      </c>
      <c r="B544" t="s">
        <v>10</v>
      </c>
      <c r="C544" s="1">
        <v>46147</v>
      </c>
      <c r="D544" t="s">
        <v>14</v>
      </c>
      <c r="E544">
        <v>43</v>
      </c>
      <c r="F544" t="s">
        <v>12</v>
      </c>
      <c r="G544" t="s">
        <v>13</v>
      </c>
      <c r="H544" s="1">
        <v>46169</v>
      </c>
      <c r="I544">
        <v>1.81</v>
      </c>
      <c r="J544">
        <v>0</v>
      </c>
      <c r="K544">
        <v>2500</v>
      </c>
      <c r="L544">
        <v>0</v>
      </c>
      <c r="M544">
        <v>46.409908667424702</v>
      </c>
      <c r="N544">
        <v>1.9319999999999999</v>
      </c>
      <c r="O544">
        <f>(Table1[[#This Row],[P]]&lt;&gt;0)*(Table1[[#This Row],[C]]&lt;&gt;0)</f>
        <v>0</v>
      </c>
      <c r="P544">
        <f>NETWORKDAYS(Table1[[#This Row],[ts_event]],Table1[[#This Row],[option_expiry_date]])</f>
        <v>17</v>
      </c>
      <c r="Q544">
        <f>Table1[[#This Row],[Column2]]/252</f>
        <v>6.7460317460317457E-2</v>
      </c>
      <c r="R544" s="2" t="e">
        <f>IF(Table1[[#This Row],[CHECK2]]=0,NA(),
-(1/Table1[[#This Row],[T]])*LN((Table1[[#This Row],[S0]]-Table1[[#This Row],[C]]+Table1[[#This Row],[P]])/Table1[[#This Row],[K]])
)</f>
        <v>#N/A</v>
      </c>
    </row>
    <row r="545" spans="1:18">
      <c r="A545">
        <v>1</v>
      </c>
      <c r="B545" t="s">
        <v>10</v>
      </c>
      <c r="C545" s="1">
        <v>46147</v>
      </c>
      <c r="D545" t="s">
        <v>14</v>
      </c>
      <c r="E545">
        <v>44</v>
      </c>
      <c r="F545" t="s">
        <v>12</v>
      </c>
      <c r="G545" t="s">
        <v>13</v>
      </c>
      <c r="H545" s="1">
        <v>46169</v>
      </c>
      <c r="I545">
        <v>2.2999999999999998</v>
      </c>
      <c r="J545">
        <v>0</v>
      </c>
      <c r="K545">
        <v>5</v>
      </c>
      <c r="L545">
        <v>0</v>
      </c>
      <c r="M545">
        <v>46.409908667424702</v>
      </c>
      <c r="N545">
        <v>1.9319999999999999</v>
      </c>
      <c r="O545">
        <f>(Table1[[#This Row],[P]]&lt;&gt;0)*(Table1[[#This Row],[C]]&lt;&gt;0)</f>
        <v>0</v>
      </c>
      <c r="P545">
        <f>NETWORKDAYS(Table1[[#This Row],[ts_event]],Table1[[#This Row],[option_expiry_date]])</f>
        <v>17</v>
      </c>
      <c r="Q545">
        <f>Table1[[#This Row],[Column2]]/252</f>
        <v>6.7460317460317457E-2</v>
      </c>
      <c r="R545" s="2" t="e">
        <f>IF(Table1[[#This Row],[CHECK2]]=0,NA(),
-(1/Table1[[#This Row],[T]])*LN((Table1[[#This Row],[S0]]-Table1[[#This Row],[C]]+Table1[[#This Row],[P]])/Table1[[#This Row],[K]])
)</f>
        <v>#N/A</v>
      </c>
    </row>
    <row r="546" spans="1:18">
      <c r="A546">
        <v>2</v>
      </c>
      <c r="B546" t="s">
        <v>10</v>
      </c>
      <c r="C546" s="1">
        <v>46147</v>
      </c>
      <c r="D546" t="s">
        <v>14</v>
      </c>
      <c r="E546">
        <v>45</v>
      </c>
      <c r="F546" t="s">
        <v>12</v>
      </c>
      <c r="G546" t="s">
        <v>13</v>
      </c>
      <c r="H546" s="1">
        <v>46169</v>
      </c>
      <c r="I546">
        <v>2.8800193050192999</v>
      </c>
      <c r="J546">
        <v>0</v>
      </c>
      <c r="K546">
        <v>2590</v>
      </c>
      <c r="L546">
        <v>0</v>
      </c>
      <c r="M546">
        <v>46.409908667424702</v>
      </c>
      <c r="N546">
        <v>1.9319999999999999</v>
      </c>
      <c r="O546">
        <f>(Table1[[#This Row],[P]]&lt;&gt;0)*(Table1[[#This Row],[C]]&lt;&gt;0)</f>
        <v>0</v>
      </c>
      <c r="P546">
        <f>NETWORKDAYS(Table1[[#This Row],[ts_event]],Table1[[#This Row],[option_expiry_date]])</f>
        <v>17</v>
      </c>
      <c r="Q546">
        <f>Table1[[#This Row],[Column2]]/252</f>
        <v>6.7460317460317457E-2</v>
      </c>
      <c r="R546" s="2" t="e">
        <f>IF(Table1[[#This Row],[CHECK2]]=0,NA(),
-(1/Table1[[#This Row],[T]])*LN((Table1[[#This Row],[S0]]-Table1[[#This Row],[C]]+Table1[[#This Row],[P]])/Table1[[#This Row],[K]])
)</f>
        <v>#N/A</v>
      </c>
    </row>
    <row r="547" spans="1:18">
      <c r="A547">
        <v>1</v>
      </c>
      <c r="B547" t="s">
        <v>10</v>
      </c>
      <c r="C547" s="1">
        <v>46147</v>
      </c>
      <c r="D547" t="s">
        <v>14</v>
      </c>
      <c r="E547">
        <v>47</v>
      </c>
      <c r="F547" t="s">
        <v>12</v>
      </c>
      <c r="G547" t="s">
        <v>13</v>
      </c>
      <c r="H547" s="1">
        <v>46169</v>
      </c>
      <c r="I547">
        <v>4.17</v>
      </c>
      <c r="J547">
        <v>0</v>
      </c>
      <c r="K547">
        <v>1000</v>
      </c>
      <c r="L547">
        <v>0</v>
      </c>
      <c r="M547">
        <v>46.409908667424702</v>
      </c>
      <c r="N547">
        <v>1.9319999999999999</v>
      </c>
      <c r="O547">
        <f>(Table1[[#This Row],[P]]&lt;&gt;0)*(Table1[[#This Row],[C]]&lt;&gt;0)</f>
        <v>0</v>
      </c>
      <c r="P547">
        <f>NETWORKDAYS(Table1[[#This Row],[ts_event]],Table1[[#This Row],[option_expiry_date]])</f>
        <v>17</v>
      </c>
      <c r="Q547">
        <f>Table1[[#This Row],[Column2]]/252</f>
        <v>6.7460317460317457E-2</v>
      </c>
      <c r="R547" s="2" t="e">
        <f>IF(Table1[[#This Row],[CHECK2]]=0,NA(),
-(1/Table1[[#This Row],[T]])*LN((Table1[[#This Row],[S0]]-Table1[[#This Row],[C]]+Table1[[#This Row],[P]])/Table1[[#This Row],[K]])
)</f>
        <v>#N/A</v>
      </c>
    </row>
    <row r="548" spans="1:18">
      <c r="A548">
        <v>1</v>
      </c>
      <c r="B548" t="s">
        <v>10</v>
      </c>
      <c r="C548" s="1">
        <v>46147</v>
      </c>
      <c r="D548" t="s">
        <v>14</v>
      </c>
      <c r="E548">
        <v>48</v>
      </c>
      <c r="F548" t="s">
        <v>12</v>
      </c>
      <c r="G548" t="s">
        <v>13</v>
      </c>
      <c r="H548" s="1">
        <v>46169</v>
      </c>
      <c r="I548">
        <v>4.32</v>
      </c>
      <c r="J548">
        <v>0</v>
      </c>
      <c r="K548">
        <v>1000</v>
      </c>
      <c r="L548">
        <v>0</v>
      </c>
      <c r="M548">
        <v>46.409908667424702</v>
      </c>
      <c r="N548">
        <v>1.9319999999999999</v>
      </c>
      <c r="O548">
        <f>(Table1[[#This Row],[P]]&lt;&gt;0)*(Table1[[#This Row],[C]]&lt;&gt;0)</f>
        <v>0</v>
      </c>
      <c r="P548">
        <f>NETWORKDAYS(Table1[[#This Row],[ts_event]],Table1[[#This Row],[option_expiry_date]])</f>
        <v>17</v>
      </c>
      <c r="Q548">
        <f>Table1[[#This Row],[Column2]]/252</f>
        <v>6.7460317460317457E-2</v>
      </c>
      <c r="R548" s="2" t="e">
        <f>IF(Table1[[#This Row],[CHECK2]]=0,NA(),
-(1/Table1[[#This Row],[T]])*LN((Table1[[#This Row],[S0]]-Table1[[#This Row],[C]]+Table1[[#This Row],[P]])/Table1[[#This Row],[K]])
)</f>
        <v>#N/A</v>
      </c>
    </row>
    <row r="549" spans="1:18">
      <c r="A549">
        <v>2</v>
      </c>
      <c r="B549" t="s">
        <v>10</v>
      </c>
      <c r="C549" s="1">
        <v>46147</v>
      </c>
      <c r="D549" t="s">
        <v>14</v>
      </c>
      <c r="E549">
        <v>50</v>
      </c>
      <c r="F549" t="s">
        <v>12</v>
      </c>
      <c r="G549" t="s">
        <v>13</v>
      </c>
      <c r="H549" s="1">
        <v>46169</v>
      </c>
      <c r="I549">
        <v>0</v>
      </c>
      <c r="J549">
        <v>3.5276595744680801</v>
      </c>
      <c r="K549">
        <v>0</v>
      </c>
      <c r="L549">
        <v>3525</v>
      </c>
      <c r="M549">
        <v>46.409908667424702</v>
      </c>
      <c r="N549">
        <v>1.9319999999999999</v>
      </c>
      <c r="O549">
        <f>(Table1[[#This Row],[P]]&lt;&gt;0)*(Table1[[#This Row],[C]]&lt;&gt;0)</f>
        <v>0</v>
      </c>
      <c r="P549">
        <f>NETWORKDAYS(Table1[[#This Row],[ts_event]],Table1[[#This Row],[option_expiry_date]])</f>
        <v>17</v>
      </c>
      <c r="Q549">
        <f>Table1[[#This Row],[Column2]]/252</f>
        <v>6.7460317460317457E-2</v>
      </c>
      <c r="R549" s="2" t="e">
        <f>IF(Table1[[#This Row],[CHECK2]]=0,NA(),
-(1/Table1[[#This Row],[T]])*LN((Table1[[#This Row],[S0]]-Table1[[#This Row],[C]]+Table1[[#This Row],[P]])/Table1[[#This Row],[K]])
)</f>
        <v>#N/A</v>
      </c>
    </row>
    <row r="550" spans="1:18">
      <c r="A550">
        <v>1</v>
      </c>
      <c r="B550" t="s">
        <v>10</v>
      </c>
      <c r="C550" s="1">
        <v>46147</v>
      </c>
      <c r="D550" t="s">
        <v>14</v>
      </c>
      <c r="E550">
        <v>51</v>
      </c>
      <c r="F550" t="s">
        <v>12</v>
      </c>
      <c r="G550" t="s">
        <v>13</v>
      </c>
      <c r="H550" s="1">
        <v>46169</v>
      </c>
      <c r="I550">
        <v>0</v>
      </c>
      <c r="J550">
        <v>3.48</v>
      </c>
      <c r="K550">
        <v>0</v>
      </c>
      <c r="L550">
        <v>25</v>
      </c>
      <c r="M550">
        <v>46.409908667424702</v>
      </c>
      <c r="N550">
        <v>1.9319999999999999</v>
      </c>
      <c r="O550">
        <f>(Table1[[#This Row],[P]]&lt;&gt;0)*(Table1[[#This Row],[C]]&lt;&gt;0)</f>
        <v>0</v>
      </c>
      <c r="P550">
        <f>NETWORKDAYS(Table1[[#This Row],[ts_event]],Table1[[#This Row],[option_expiry_date]])</f>
        <v>17</v>
      </c>
      <c r="Q550">
        <f>Table1[[#This Row],[Column2]]/252</f>
        <v>6.7460317460317457E-2</v>
      </c>
      <c r="R550" s="2" t="e">
        <f>IF(Table1[[#This Row],[CHECK2]]=0,NA(),
-(1/Table1[[#This Row],[T]])*LN((Table1[[#This Row],[S0]]-Table1[[#This Row],[C]]+Table1[[#This Row],[P]])/Table1[[#This Row],[K]])
)</f>
        <v>#N/A</v>
      </c>
    </row>
    <row r="551" spans="1:18">
      <c r="A551">
        <v>1</v>
      </c>
      <c r="B551" t="s">
        <v>10</v>
      </c>
      <c r="C551" s="1">
        <v>46147</v>
      </c>
      <c r="D551" t="s">
        <v>14</v>
      </c>
      <c r="E551">
        <v>52</v>
      </c>
      <c r="F551" t="s">
        <v>12</v>
      </c>
      <c r="G551" t="s">
        <v>13</v>
      </c>
      <c r="H551" s="1">
        <v>46169</v>
      </c>
      <c r="I551">
        <v>0</v>
      </c>
      <c r="J551">
        <v>2.75</v>
      </c>
      <c r="K551">
        <v>0</v>
      </c>
      <c r="L551">
        <v>30</v>
      </c>
      <c r="M551">
        <v>46.409908667424702</v>
      </c>
      <c r="N551">
        <v>1.9319999999999999</v>
      </c>
      <c r="O551">
        <f>(Table1[[#This Row],[P]]&lt;&gt;0)*(Table1[[#This Row],[C]]&lt;&gt;0)</f>
        <v>0</v>
      </c>
      <c r="P551">
        <f>NETWORKDAYS(Table1[[#This Row],[ts_event]],Table1[[#This Row],[option_expiry_date]])</f>
        <v>17</v>
      </c>
      <c r="Q551">
        <f>Table1[[#This Row],[Column2]]/252</f>
        <v>6.7460317460317457E-2</v>
      </c>
      <c r="R551" s="2" t="e">
        <f>IF(Table1[[#This Row],[CHECK2]]=0,NA(),
-(1/Table1[[#This Row],[T]])*LN((Table1[[#This Row],[S0]]-Table1[[#This Row],[C]]+Table1[[#This Row],[P]])/Table1[[#This Row],[K]])
)</f>
        <v>#N/A</v>
      </c>
    </row>
    <row r="552" spans="1:18">
      <c r="A552">
        <v>1</v>
      </c>
      <c r="B552" t="s">
        <v>10</v>
      </c>
      <c r="C552" s="1">
        <v>46147</v>
      </c>
      <c r="D552" t="s">
        <v>14</v>
      </c>
      <c r="E552">
        <v>54</v>
      </c>
      <c r="F552" t="s">
        <v>12</v>
      </c>
      <c r="G552" t="s">
        <v>13</v>
      </c>
      <c r="H552" s="1">
        <v>46169</v>
      </c>
      <c r="I552">
        <v>0</v>
      </c>
      <c r="J552">
        <v>2.2599999999999998</v>
      </c>
      <c r="K552">
        <v>0</v>
      </c>
      <c r="L552">
        <v>50</v>
      </c>
      <c r="M552">
        <v>46.409908667424702</v>
      </c>
      <c r="N552">
        <v>1.9319999999999999</v>
      </c>
      <c r="O552">
        <f>(Table1[[#This Row],[P]]&lt;&gt;0)*(Table1[[#This Row],[C]]&lt;&gt;0)</f>
        <v>0</v>
      </c>
      <c r="P552">
        <f>NETWORKDAYS(Table1[[#This Row],[ts_event]],Table1[[#This Row],[option_expiry_date]])</f>
        <v>17</v>
      </c>
      <c r="Q552">
        <f>Table1[[#This Row],[Column2]]/252</f>
        <v>6.7460317460317457E-2</v>
      </c>
      <c r="R552" s="2" t="e">
        <f>IF(Table1[[#This Row],[CHECK2]]=0,NA(),
-(1/Table1[[#This Row],[T]])*LN((Table1[[#This Row],[S0]]-Table1[[#This Row],[C]]+Table1[[#This Row],[P]])/Table1[[#This Row],[K]])
)</f>
        <v>#N/A</v>
      </c>
    </row>
    <row r="553" spans="1:18">
      <c r="A553">
        <v>2</v>
      </c>
      <c r="B553" t="s">
        <v>10</v>
      </c>
      <c r="C553" s="1">
        <v>46147</v>
      </c>
      <c r="D553" t="s">
        <v>14</v>
      </c>
      <c r="E553">
        <v>55</v>
      </c>
      <c r="F553" t="s">
        <v>12</v>
      </c>
      <c r="G553" t="s">
        <v>13</v>
      </c>
      <c r="H553" s="1">
        <v>46169</v>
      </c>
      <c r="I553">
        <v>0</v>
      </c>
      <c r="J553">
        <v>2.2772037914691898</v>
      </c>
      <c r="K553">
        <v>0</v>
      </c>
      <c r="L553">
        <v>2110</v>
      </c>
      <c r="M553">
        <v>46.409908667424702</v>
      </c>
      <c r="N553">
        <v>1.9319999999999999</v>
      </c>
      <c r="O553">
        <f>(Table1[[#This Row],[P]]&lt;&gt;0)*(Table1[[#This Row],[C]]&lt;&gt;0)</f>
        <v>0</v>
      </c>
      <c r="P553">
        <f>NETWORKDAYS(Table1[[#This Row],[ts_event]],Table1[[#This Row],[option_expiry_date]])</f>
        <v>17</v>
      </c>
      <c r="Q553">
        <f>Table1[[#This Row],[Column2]]/252</f>
        <v>6.7460317460317457E-2</v>
      </c>
      <c r="R553" s="2" t="e">
        <f>IF(Table1[[#This Row],[CHECK2]]=0,NA(),
-(1/Table1[[#This Row],[T]])*LN((Table1[[#This Row],[S0]]-Table1[[#This Row],[C]]+Table1[[#This Row],[P]])/Table1[[#This Row],[K]])
)</f>
        <v>#N/A</v>
      </c>
    </row>
    <row r="554" spans="1:18">
      <c r="A554">
        <v>1</v>
      </c>
      <c r="B554" t="s">
        <v>10</v>
      </c>
      <c r="C554" s="1">
        <v>46147</v>
      </c>
      <c r="D554" t="s">
        <v>14</v>
      </c>
      <c r="E554">
        <v>56</v>
      </c>
      <c r="F554" t="s">
        <v>12</v>
      </c>
      <c r="G554" t="s">
        <v>13</v>
      </c>
      <c r="H554" s="1">
        <v>46169</v>
      </c>
      <c r="I554">
        <v>0</v>
      </c>
      <c r="J554">
        <v>2.34</v>
      </c>
      <c r="K554">
        <v>0</v>
      </c>
      <c r="L554">
        <v>25</v>
      </c>
      <c r="M554">
        <v>46.409908667424702</v>
      </c>
      <c r="N554">
        <v>1.9319999999999999</v>
      </c>
      <c r="O554">
        <f>(Table1[[#This Row],[P]]&lt;&gt;0)*(Table1[[#This Row],[C]]&lt;&gt;0)</f>
        <v>0</v>
      </c>
      <c r="P554">
        <f>NETWORKDAYS(Table1[[#This Row],[ts_event]],Table1[[#This Row],[option_expiry_date]])</f>
        <v>17</v>
      </c>
      <c r="Q554">
        <f>Table1[[#This Row],[Column2]]/252</f>
        <v>6.7460317460317457E-2</v>
      </c>
      <c r="R554" s="2" t="e">
        <f>IF(Table1[[#This Row],[CHECK2]]=0,NA(),
-(1/Table1[[#This Row],[T]])*LN((Table1[[#This Row],[S0]]-Table1[[#This Row],[C]]+Table1[[#This Row],[P]])/Table1[[#This Row],[K]])
)</f>
        <v>#N/A</v>
      </c>
    </row>
    <row r="555" spans="1:18">
      <c r="A555">
        <v>2</v>
      </c>
      <c r="B555" t="s">
        <v>10</v>
      </c>
      <c r="C555" s="1">
        <v>46147</v>
      </c>
      <c r="D555" t="s">
        <v>14</v>
      </c>
      <c r="E555">
        <v>60</v>
      </c>
      <c r="F555" t="s">
        <v>12</v>
      </c>
      <c r="G555" t="s">
        <v>13</v>
      </c>
      <c r="H555" s="1">
        <v>46169</v>
      </c>
      <c r="I555">
        <v>0</v>
      </c>
      <c r="J555">
        <v>1.8447368421052599</v>
      </c>
      <c r="K555">
        <v>0</v>
      </c>
      <c r="L555">
        <v>475</v>
      </c>
      <c r="M555">
        <v>46.409908667424702</v>
      </c>
      <c r="N555">
        <v>1.9319999999999999</v>
      </c>
      <c r="O555">
        <f>(Table1[[#This Row],[P]]&lt;&gt;0)*(Table1[[#This Row],[C]]&lt;&gt;0)</f>
        <v>0</v>
      </c>
      <c r="P555">
        <f>NETWORKDAYS(Table1[[#This Row],[ts_event]],Table1[[#This Row],[option_expiry_date]])</f>
        <v>17</v>
      </c>
      <c r="Q555">
        <f>Table1[[#This Row],[Column2]]/252</f>
        <v>6.7460317460317457E-2</v>
      </c>
      <c r="R555" s="2" t="e">
        <f>IF(Table1[[#This Row],[CHECK2]]=0,NA(),
-(1/Table1[[#This Row],[T]])*LN((Table1[[#This Row],[S0]]-Table1[[#This Row],[C]]+Table1[[#This Row],[P]])/Table1[[#This Row],[K]])
)</f>
        <v>#N/A</v>
      </c>
    </row>
    <row r="556" spans="1:18">
      <c r="A556">
        <v>2</v>
      </c>
      <c r="B556" t="s">
        <v>10</v>
      </c>
      <c r="C556" s="1">
        <v>46147</v>
      </c>
      <c r="D556" t="s">
        <v>14</v>
      </c>
      <c r="E556">
        <v>65</v>
      </c>
      <c r="F556" t="s">
        <v>12</v>
      </c>
      <c r="G556" t="s">
        <v>13</v>
      </c>
      <c r="H556" s="1">
        <v>46169</v>
      </c>
      <c r="I556">
        <v>0</v>
      </c>
      <c r="J556">
        <v>0.97636363636363599</v>
      </c>
      <c r="K556">
        <v>0</v>
      </c>
      <c r="L556">
        <v>110</v>
      </c>
      <c r="M556">
        <v>46.409908667424702</v>
      </c>
      <c r="N556">
        <v>1.9319999999999999</v>
      </c>
      <c r="O556">
        <f>(Table1[[#This Row],[P]]&lt;&gt;0)*(Table1[[#This Row],[C]]&lt;&gt;0)</f>
        <v>0</v>
      </c>
      <c r="P556">
        <f>NETWORKDAYS(Table1[[#This Row],[ts_event]],Table1[[#This Row],[option_expiry_date]])</f>
        <v>17</v>
      </c>
      <c r="Q556">
        <f>Table1[[#This Row],[Column2]]/252</f>
        <v>6.7460317460317457E-2</v>
      </c>
      <c r="R556" s="2" t="e">
        <f>IF(Table1[[#This Row],[CHECK2]]=0,NA(),
-(1/Table1[[#This Row],[T]])*LN((Table1[[#This Row],[S0]]-Table1[[#This Row],[C]]+Table1[[#This Row],[P]])/Table1[[#This Row],[K]])
)</f>
        <v>#N/A</v>
      </c>
    </row>
    <row r="557" spans="1:18">
      <c r="A557">
        <v>2</v>
      </c>
      <c r="B557" t="s">
        <v>10</v>
      </c>
      <c r="C557" s="1">
        <v>46147</v>
      </c>
      <c r="D557" t="s">
        <v>14</v>
      </c>
      <c r="E557">
        <v>70</v>
      </c>
      <c r="F557" t="s">
        <v>12</v>
      </c>
      <c r="G557" t="s">
        <v>13</v>
      </c>
      <c r="H557" s="1">
        <v>46169</v>
      </c>
      <c r="I557">
        <v>0</v>
      </c>
      <c r="J557">
        <v>0.61184210526315697</v>
      </c>
      <c r="K557">
        <v>0</v>
      </c>
      <c r="L557">
        <v>950</v>
      </c>
      <c r="M557">
        <v>46.409908667424702</v>
      </c>
      <c r="N557">
        <v>1.9319999999999999</v>
      </c>
      <c r="O557">
        <f>(Table1[[#This Row],[P]]&lt;&gt;0)*(Table1[[#This Row],[C]]&lt;&gt;0)</f>
        <v>0</v>
      </c>
      <c r="P557">
        <f>NETWORKDAYS(Table1[[#This Row],[ts_event]],Table1[[#This Row],[option_expiry_date]])</f>
        <v>17</v>
      </c>
      <c r="Q557">
        <f>Table1[[#This Row],[Column2]]/252</f>
        <v>6.7460317460317457E-2</v>
      </c>
      <c r="R557" s="2" t="e">
        <f>IF(Table1[[#This Row],[CHECK2]]=0,NA(),
-(1/Table1[[#This Row],[T]])*LN((Table1[[#This Row],[S0]]-Table1[[#This Row],[C]]+Table1[[#This Row],[P]])/Table1[[#This Row],[K]])
)</f>
        <v>#N/A</v>
      </c>
    </row>
    <row r="558" spans="1:18">
      <c r="A558">
        <v>2</v>
      </c>
      <c r="B558" t="s">
        <v>10</v>
      </c>
      <c r="C558" s="1">
        <v>46147</v>
      </c>
      <c r="D558" t="s">
        <v>14</v>
      </c>
      <c r="E558">
        <v>75</v>
      </c>
      <c r="F558" t="s">
        <v>12</v>
      </c>
      <c r="G558" t="s">
        <v>13</v>
      </c>
      <c r="H558" s="1">
        <v>46169</v>
      </c>
      <c r="I558">
        <v>0</v>
      </c>
      <c r="J558">
        <v>0.45764150943396198</v>
      </c>
      <c r="K558">
        <v>0</v>
      </c>
      <c r="L558">
        <v>1325</v>
      </c>
      <c r="M558">
        <v>46.409908667424702</v>
      </c>
      <c r="N558">
        <v>1.9319999999999999</v>
      </c>
      <c r="O558">
        <f>(Table1[[#This Row],[P]]&lt;&gt;0)*(Table1[[#This Row],[C]]&lt;&gt;0)</f>
        <v>0</v>
      </c>
      <c r="P558">
        <f>NETWORKDAYS(Table1[[#This Row],[ts_event]],Table1[[#This Row],[option_expiry_date]])</f>
        <v>17</v>
      </c>
      <c r="Q558">
        <f>Table1[[#This Row],[Column2]]/252</f>
        <v>6.7460317460317457E-2</v>
      </c>
      <c r="R558" s="2" t="e">
        <f>IF(Table1[[#This Row],[CHECK2]]=0,NA(),
-(1/Table1[[#This Row],[T]])*LN((Table1[[#This Row],[S0]]-Table1[[#This Row],[C]]+Table1[[#This Row],[P]])/Table1[[#This Row],[K]])
)</f>
        <v>#N/A</v>
      </c>
    </row>
    <row r="559" spans="1:18">
      <c r="A559">
        <v>1</v>
      </c>
      <c r="B559" t="s">
        <v>10</v>
      </c>
      <c r="C559" s="1">
        <v>46147</v>
      </c>
      <c r="D559" t="s">
        <v>14</v>
      </c>
      <c r="E559">
        <v>80</v>
      </c>
      <c r="F559" t="s">
        <v>12</v>
      </c>
      <c r="G559" t="s">
        <v>13</v>
      </c>
      <c r="H559" s="1">
        <v>46169</v>
      </c>
      <c r="I559">
        <v>0</v>
      </c>
      <c r="J559">
        <v>0.42</v>
      </c>
      <c r="K559">
        <v>0</v>
      </c>
      <c r="L559">
        <v>350</v>
      </c>
      <c r="M559">
        <v>46.409908667424702</v>
      </c>
      <c r="N559">
        <v>1.9319999999999999</v>
      </c>
      <c r="O559">
        <f>(Table1[[#This Row],[P]]&lt;&gt;0)*(Table1[[#This Row],[C]]&lt;&gt;0)</f>
        <v>0</v>
      </c>
      <c r="P559">
        <f>NETWORKDAYS(Table1[[#This Row],[ts_event]],Table1[[#This Row],[option_expiry_date]])</f>
        <v>17</v>
      </c>
      <c r="Q559">
        <f>Table1[[#This Row],[Column2]]/252</f>
        <v>6.7460317460317457E-2</v>
      </c>
      <c r="R559" s="2" t="e">
        <f>IF(Table1[[#This Row],[CHECK2]]=0,NA(),
-(1/Table1[[#This Row],[T]])*LN((Table1[[#This Row],[S0]]-Table1[[#This Row],[C]]+Table1[[#This Row],[P]])/Table1[[#This Row],[K]])
)</f>
        <v>#N/A</v>
      </c>
    </row>
    <row r="560" spans="1:18">
      <c r="A560">
        <v>1</v>
      </c>
      <c r="B560" t="s">
        <v>10</v>
      </c>
      <c r="C560" s="1">
        <v>46147</v>
      </c>
      <c r="D560" t="s">
        <v>14</v>
      </c>
      <c r="E560">
        <v>100</v>
      </c>
      <c r="F560" t="s">
        <v>12</v>
      </c>
      <c r="G560" t="s">
        <v>13</v>
      </c>
      <c r="H560" s="1">
        <v>46169</v>
      </c>
      <c r="I560">
        <v>0</v>
      </c>
      <c r="J560">
        <v>0.20499999999999999</v>
      </c>
      <c r="K560">
        <v>0</v>
      </c>
      <c r="L560">
        <v>25</v>
      </c>
      <c r="M560">
        <v>46.409908667424702</v>
      </c>
      <c r="N560">
        <v>1.9319999999999999</v>
      </c>
      <c r="O560">
        <f>(Table1[[#This Row],[P]]&lt;&gt;0)*(Table1[[#This Row],[C]]&lt;&gt;0)</f>
        <v>0</v>
      </c>
      <c r="P560">
        <f>NETWORKDAYS(Table1[[#This Row],[ts_event]],Table1[[#This Row],[option_expiry_date]])</f>
        <v>17</v>
      </c>
      <c r="Q560">
        <f>Table1[[#This Row],[Column2]]/252</f>
        <v>6.7460317460317457E-2</v>
      </c>
      <c r="R560" s="2" t="e">
        <f>IF(Table1[[#This Row],[CHECK2]]=0,NA(),
-(1/Table1[[#This Row],[T]])*LN((Table1[[#This Row],[S0]]-Table1[[#This Row],[C]]+Table1[[#This Row],[P]])/Table1[[#This Row],[K]])
)</f>
        <v>#N/A</v>
      </c>
    </row>
    <row r="561" spans="1:18">
      <c r="A561">
        <v>1</v>
      </c>
      <c r="B561" t="s">
        <v>10</v>
      </c>
      <c r="C561" s="1">
        <v>46147</v>
      </c>
      <c r="D561" t="s">
        <v>15</v>
      </c>
      <c r="E561">
        <v>40</v>
      </c>
      <c r="F561" t="s">
        <v>12</v>
      </c>
      <c r="G561" t="s">
        <v>13</v>
      </c>
      <c r="H561" s="1">
        <v>46199</v>
      </c>
      <c r="I561">
        <v>2.27</v>
      </c>
      <c r="J561">
        <v>0</v>
      </c>
      <c r="K561">
        <v>510</v>
      </c>
      <c r="L561">
        <v>0</v>
      </c>
      <c r="M561">
        <v>47.171796506317499</v>
      </c>
      <c r="N561">
        <v>1.9319999999999999</v>
      </c>
      <c r="O561">
        <f>(Table1[[#This Row],[P]]&lt;&gt;0)*(Table1[[#This Row],[C]]&lt;&gt;0)</f>
        <v>0</v>
      </c>
      <c r="P561">
        <f>NETWORKDAYS(Table1[[#This Row],[ts_event]],Table1[[#This Row],[option_expiry_date]])</f>
        <v>39</v>
      </c>
      <c r="Q561">
        <f>Table1[[#This Row],[Column2]]/252</f>
        <v>0.15476190476190477</v>
      </c>
      <c r="R561" s="2" t="e">
        <f>IF(Table1[[#This Row],[CHECK2]]=0,NA(),
-(1/Table1[[#This Row],[T]])*LN((Table1[[#This Row],[S0]]-Table1[[#This Row],[C]]+Table1[[#This Row],[P]])/Table1[[#This Row],[K]])
)</f>
        <v>#N/A</v>
      </c>
    </row>
    <row r="562" spans="1:18">
      <c r="A562">
        <v>1</v>
      </c>
      <c r="B562" t="s">
        <v>10</v>
      </c>
      <c r="C562" s="1">
        <v>46147</v>
      </c>
      <c r="D562" t="s">
        <v>15</v>
      </c>
      <c r="E562">
        <v>53</v>
      </c>
      <c r="F562" t="s">
        <v>12</v>
      </c>
      <c r="G562" t="s">
        <v>13</v>
      </c>
      <c r="H562" s="1">
        <v>46199</v>
      </c>
      <c r="I562">
        <v>0</v>
      </c>
      <c r="J562">
        <v>4.5999999999999996</v>
      </c>
      <c r="K562">
        <v>0</v>
      </c>
      <c r="L562">
        <v>5</v>
      </c>
      <c r="M562">
        <v>47.171796506317499</v>
      </c>
      <c r="N562">
        <v>1.9319999999999999</v>
      </c>
      <c r="O562">
        <f>(Table1[[#This Row],[P]]&lt;&gt;0)*(Table1[[#This Row],[C]]&lt;&gt;0)</f>
        <v>0</v>
      </c>
      <c r="P562">
        <f>NETWORKDAYS(Table1[[#This Row],[ts_event]],Table1[[#This Row],[option_expiry_date]])</f>
        <v>39</v>
      </c>
      <c r="Q562">
        <f>Table1[[#This Row],[Column2]]/252</f>
        <v>0.15476190476190477</v>
      </c>
      <c r="R562" s="2" t="e">
        <f>IF(Table1[[#This Row],[CHECK2]]=0,NA(),
-(1/Table1[[#This Row],[T]])*LN((Table1[[#This Row],[S0]]-Table1[[#This Row],[C]]+Table1[[#This Row],[P]])/Table1[[#This Row],[K]])
)</f>
        <v>#N/A</v>
      </c>
    </row>
    <row r="563" spans="1:18">
      <c r="A563">
        <v>1</v>
      </c>
      <c r="B563" t="s">
        <v>10</v>
      </c>
      <c r="C563" s="1">
        <v>46147</v>
      </c>
      <c r="D563" t="s">
        <v>15</v>
      </c>
      <c r="E563">
        <v>55</v>
      </c>
      <c r="F563" t="s">
        <v>12</v>
      </c>
      <c r="G563" t="s">
        <v>13</v>
      </c>
      <c r="H563" s="1">
        <v>46199</v>
      </c>
      <c r="I563">
        <v>0</v>
      </c>
      <c r="J563">
        <v>3.95</v>
      </c>
      <c r="K563">
        <v>0</v>
      </c>
      <c r="L563">
        <v>870</v>
      </c>
      <c r="M563">
        <v>47.171796506317499</v>
      </c>
      <c r="N563">
        <v>1.9319999999999999</v>
      </c>
      <c r="O563">
        <f>(Table1[[#This Row],[P]]&lt;&gt;0)*(Table1[[#This Row],[C]]&lt;&gt;0)</f>
        <v>0</v>
      </c>
      <c r="P563">
        <f>NETWORKDAYS(Table1[[#This Row],[ts_event]],Table1[[#This Row],[option_expiry_date]])</f>
        <v>39</v>
      </c>
      <c r="Q563">
        <f>Table1[[#This Row],[Column2]]/252</f>
        <v>0.15476190476190477</v>
      </c>
      <c r="R563" s="2" t="e">
        <f>IF(Table1[[#This Row],[CHECK2]]=0,NA(),
-(1/Table1[[#This Row],[T]])*LN((Table1[[#This Row],[S0]]-Table1[[#This Row],[C]]+Table1[[#This Row],[P]])/Table1[[#This Row],[K]])
)</f>
        <v>#N/A</v>
      </c>
    </row>
    <row r="564" spans="1:18">
      <c r="A564">
        <v>1</v>
      </c>
      <c r="B564" t="s">
        <v>10</v>
      </c>
      <c r="C564" s="1">
        <v>46147</v>
      </c>
      <c r="D564" t="s">
        <v>15</v>
      </c>
      <c r="E564">
        <v>60</v>
      </c>
      <c r="F564" t="s">
        <v>12</v>
      </c>
      <c r="G564" t="s">
        <v>13</v>
      </c>
      <c r="H564" s="1">
        <v>46199</v>
      </c>
      <c r="I564">
        <v>0</v>
      </c>
      <c r="J564">
        <v>3.75</v>
      </c>
      <c r="K564">
        <v>0</v>
      </c>
      <c r="L564">
        <v>10</v>
      </c>
      <c r="M564">
        <v>47.171796506317499</v>
      </c>
      <c r="N564">
        <v>1.9319999999999999</v>
      </c>
      <c r="O564">
        <f>(Table1[[#This Row],[P]]&lt;&gt;0)*(Table1[[#This Row],[C]]&lt;&gt;0)</f>
        <v>0</v>
      </c>
      <c r="P564">
        <f>NETWORKDAYS(Table1[[#This Row],[ts_event]],Table1[[#This Row],[option_expiry_date]])</f>
        <v>39</v>
      </c>
      <c r="Q564">
        <f>Table1[[#This Row],[Column2]]/252</f>
        <v>0.15476190476190477</v>
      </c>
      <c r="R564" s="2" t="e">
        <f>IF(Table1[[#This Row],[CHECK2]]=0,NA(),
-(1/Table1[[#This Row],[T]])*LN((Table1[[#This Row],[S0]]-Table1[[#This Row],[C]]+Table1[[#This Row],[P]])/Table1[[#This Row],[K]])
)</f>
        <v>#N/A</v>
      </c>
    </row>
    <row r="565" spans="1:18">
      <c r="A565">
        <v>1</v>
      </c>
      <c r="B565" t="s">
        <v>10</v>
      </c>
      <c r="C565" s="1">
        <v>46147</v>
      </c>
      <c r="D565" t="s">
        <v>15</v>
      </c>
      <c r="E565">
        <v>65</v>
      </c>
      <c r="F565" t="s">
        <v>12</v>
      </c>
      <c r="G565" t="s">
        <v>13</v>
      </c>
      <c r="H565" s="1">
        <v>46199</v>
      </c>
      <c r="I565">
        <v>0</v>
      </c>
      <c r="J565">
        <v>3.08</v>
      </c>
      <c r="K565">
        <v>0</v>
      </c>
      <c r="L565">
        <v>20</v>
      </c>
      <c r="M565">
        <v>47.171796506317499</v>
      </c>
      <c r="N565">
        <v>1.9319999999999999</v>
      </c>
      <c r="O565">
        <f>(Table1[[#This Row],[P]]&lt;&gt;0)*(Table1[[#This Row],[C]]&lt;&gt;0)</f>
        <v>0</v>
      </c>
      <c r="P565">
        <f>NETWORKDAYS(Table1[[#This Row],[ts_event]],Table1[[#This Row],[option_expiry_date]])</f>
        <v>39</v>
      </c>
      <c r="Q565">
        <f>Table1[[#This Row],[Column2]]/252</f>
        <v>0.15476190476190477</v>
      </c>
      <c r="R565" s="2" t="e">
        <f>IF(Table1[[#This Row],[CHECK2]]=0,NA(),
-(1/Table1[[#This Row],[T]])*LN((Table1[[#This Row],[S0]]-Table1[[#This Row],[C]]+Table1[[#This Row],[P]])/Table1[[#This Row],[K]])
)</f>
        <v>#N/A</v>
      </c>
    </row>
    <row r="566" spans="1:18">
      <c r="A566">
        <v>1</v>
      </c>
      <c r="B566" t="s">
        <v>10</v>
      </c>
      <c r="C566" s="1">
        <v>46147</v>
      </c>
      <c r="D566" t="s">
        <v>15</v>
      </c>
      <c r="E566">
        <v>90</v>
      </c>
      <c r="F566" t="s">
        <v>12</v>
      </c>
      <c r="G566" t="s">
        <v>13</v>
      </c>
      <c r="H566" s="1">
        <v>46199</v>
      </c>
      <c r="I566">
        <v>0</v>
      </c>
      <c r="J566">
        <v>1.23</v>
      </c>
      <c r="K566">
        <v>0</v>
      </c>
      <c r="L566">
        <v>50</v>
      </c>
      <c r="M566">
        <v>47.171796506317499</v>
      </c>
      <c r="N566">
        <v>1.9319999999999999</v>
      </c>
      <c r="O566">
        <f>(Table1[[#This Row],[P]]&lt;&gt;0)*(Table1[[#This Row],[C]]&lt;&gt;0)</f>
        <v>0</v>
      </c>
      <c r="P566">
        <f>NETWORKDAYS(Table1[[#This Row],[ts_event]],Table1[[#This Row],[option_expiry_date]])</f>
        <v>39</v>
      </c>
      <c r="Q566">
        <f>Table1[[#This Row],[Column2]]/252</f>
        <v>0.15476190476190477</v>
      </c>
      <c r="R566" s="2" t="e">
        <f>IF(Table1[[#This Row],[CHECK2]]=0,NA(),
-(1/Table1[[#This Row],[T]])*LN((Table1[[#This Row],[S0]]-Table1[[#This Row],[C]]+Table1[[#This Row],[P]])/Table1[[#This Row],[K]])
)</f>
        <v>#N/A</v>
      </c>
    </row>
    <row r="567" spans="1:18">
      <c r="A567">
        <v>1</v>
      </c>
      <c r="B567" t="s">
        <v>10</v>
      </c>
      <c r="C567" s="1">
        <v>46147</v>
      </c>
      <c r="D567" t="s">
        <v>16</v>
      </c>
      <c r="E567">
        <v>30</v>
      </c>
      <c r="F567" t="s">
        <v>12</v>
      </c>
      <c r="G567" t="s">
        <v>13</v>
      </c>
      <c r="H567" s="1">
        <v>46230</v>
      </c>
      <c r="I567">
        <v>0.39</v>
      </c>
      <c r="J567">
        <v>0</v>
      </c>
      <c r="K567">
        <v>350</v>
      </c>
      <c r="L567">
        <v>0</v>
      </c>
      <c r="M567">
        <v>47.089839522828903</v>
      </c>
      <c r="N567">
        <v>1.9319999999999999</v>
      </c>
      <c r="O567">
        <f>(Table1[[#This Row],[P]]&lt;&gt;0)*(Table1[[#This Row],[C]]&lt;&gt;0)</f>
        <v>0</v>
      </c>
      <c r="P567">
        <f>NETWORKDAYS(Table1[[#This Row],[ts_event]],Table1[[#This Row],[option_expiry_date]])</f>
        <v>60</v>
      </c>
      <c r="Q567">
        <f>Table1[[#This Row],[Column2]]/252</f>
        <v>0.23809523809523808</v>
      </c>
      <c r="R567" s="2" t="e">
        <f>IF(Table1[[#This Row],[CHECK2]]=0,NA(),
-(1/Table1[[#This Row],[T]])*LN((Table1[[#This Row],[S0]]-Table1[[#This Row],[C]]+Table1[[#This Row],[P]])/Table1[[#This Row],[K]])
)</f>
        <v>#N/A</v>
      </c>
    </row>
    <row r="568" spans="1:18">
      <c r="A568">
        <v>1</v>
      </c>
      <c r="B568" t="s">
        <v>10</v>
      </c>
      <c r="C568" s="1">
        <v>46147</v>
      </c>
      <c r="D568" t="s">
        <v>16</v>
      </c>
      <c r="E568">
        <v>38</v>
      </c>
      <c r="F568" t="s">
        <v>12</v>
      </c>
      <c r="G568" t="s">
        <v>13</v>
      </c>
      <c r="H568" s="1">
        <v>46230</v>
      </c>
      <c r="I568">
        <v>2.23</v>
      </c>
      <c r="J568">
        <v>0</v>
      </c>
      <c r="K568">
        <v>350</v>
      </c>
      <c r="L568">
        <v>0</v>
      </c>
      <c r="M568">
        <v>47.089839522828903</v>
      </c>
      <c r="N568">
        <v>1.9319999999999999</v>
      </c>
      <c r="O568">
        <f>(Table1[[#This Row],[P]]&lt;&gt;0)*(Table1[[#This Row],[C]]&lt;&gt;0)</f>
        <v>0</v>
      </c>
      <c r="P568">
        <f>NETWORKDAYS(Table1[[#This Row],[ts_event]],Table1[[#This Row],[option_expiry_date]])</f>
        <v>60</v>
      </c>
      <c r="Q568">
        <f>Table1[[#This Row],[Column2]]/252</f>
        <v>0.23809523809523808</v>
      </c>
      <c r="R568" s="2" t="e">
        <f>IF(Table1[[#This Row],[CHECK2]]=0,NA(),
-(1/Table1[[#This Row],[T]])*LN((Table1[[#This Row],[S0]]-Table1[[#This Row],[C]]+Table1[[#This Row],[P]])/Table1[[#This Row],[K]])
)</f>
        <v>#N/A</v>
      </c>
    </row>
    <row r="569" spans="1:18">
      <c r="A569">
        <v>1</v>
      </c>
      <c r="B569" t="s">
        <v>10</v>
      </c>
      <c r="C569" s="1">
        <v>46147</v>
      </c>
      <c r="D569" t="s">
        <v>16</v>
      </c>
      <c r="E569">
        <v>40</v>
      </c>
      <c r="F569" t="s">
        <v>12</v>
      </c>
      <c r="G569" t="s">
        <v>13</v>
      </c>
      <c r="H569" s="1">
        <v>46230</v>
      </c>
      <c r="I569">
        <v>3.23</v>
      </c>
      <c r="J569">
        <v>0</v>
      </c>
      <c r="K569">
        <v>300</v>
      </c>
      <c r="L569">
        <v>0</v>
      </c>
      <c r="M569">
        <v>47.089839522828903</v>
      </c>
      <c r="N569">
        <v>1.9319999999999999</v>
      </c>
      <c r="O569">
        <f>(Table1[[#This Row],[P]]&lt;&gt;0)*(Table1[[#This Row],[C]]&lt;&gt;0)</f>
        <v>0</v>
      </c>
      <c r="P569">
        <f>NETWORKDAYS(Table1[[#This Row],[ts_event]],Table1[[#This Row],[option_expiry_date]])</f>
        <v>60</v>
      </c>
      <c r="Q569">
        <f>Table1[[#This Row],[Column2]]/252</f>
        <v>0.23809523809523808</v>
      </c>
      <c r="R569" s="2" t="e">
        <f>IF(Table1[[#This Row],[CHECK2]]=0,NA(),
-(1/Table1[[#This Row],[T]])*LN((Table1[[#This Row],[S0]]-Table1[[#This Row],[C]]+Table1[[#This Row],[P]])/Table1[[#This Row],[K]])
)</f>
        <v>#N/A</v>
      </c>
    </row>
    <row r="570" spans="1:18">
      <c r="A570">
        <v>1</v>
      </c>
      <c r="B570" t="s">
        <v>10</v>
      </c>
      <c r="C570" s="1">
        <v>46147</v>
      </c>
      <c r="D570" t="s">
        <v>16</v>
      </c>
      <c r="E570">
        <v>50</v>
      </c>
      <c r="F570" t="s">
        <v>12</v>
      </c>
      <c r="G570" t="s">
        <v>13</v>
      </c>
      <c r="H570" s="1">
        <v>46230</v>
      </c>
      <c r="I570">
        <v>0</v>
      </c>
      <c r="J570">
        <v>6.3</v>
      </c>
      <c r="K570">
        <v>0</v>
      </c>
      <c r="L570">
        <v>1350</v>
      </c>
      <c r="M570">
        <v>47.089839522828903</v>
      </c>
      <c r="N570">
        <v>1.9319999999999999</v>
      </c>
      <c r="O570">
        <f>(Table1[[#This Row],[P]]&lt;&gt;0)*(Table1[[#This Row],[C]]&lt;&gt;0)</f>
        <v>0</v>
      </c>
      <c r="P570">
        <f>NETWORKDAYS(Table1[[#This Row],[ts_event]],Table1[[#This Row],[option_expiry_date]])</f>
        <v>60</v>
      </c>
      <c r="Q570">
        <f>Table1[[#This Row],[Column2]]/252</f>
        <v>0.23809523809523808</v>
      </c>
      <c r="R570" s="2" t="e">
        <f>IF(Table1[[#This Row],[CHECK2]]=0,NA(),
-(1/Table1[[#This Row],[T]])*LN((Table1[[#This Row],[S0]]-Table1[[#This Row],[C]]+Table1[[#This Row],[P]])/Table1[[#This Row],[K]])
)</f>
        <v>#N/A</v>
      </c>
    </row>
    <row r="571" spans="1:18">
      <c r="A571">
        <v>1</v>
      </c>
      <c r="B571" t="s">
        <v>10</v>
      </c>
      <c r="C571" s="1">
        <v>46147</v>
      </c>
      <c r="D571" t="s">
        <v>16</v>
      </c>
      <c r="E571">
        <v>60</v>
      </c>
      <c r="F571" t="s">
        <v>12</v>
      </c>
      <c r="G571" t="s">
        <v>13</v>
      </c>
      <c r="H571" s="1">
        <v>46230</v>
      </c>
      <c r="I571">
        <v>0</v>
      </c>
      <c r="J571">
        <v>4.2</v>
      </c>
      <c r="K571">
        <v>0</v>
      </c>
      <c r="L571">
        <v>1550</v>
      </c>
      <c r="M571">
        <v>47.089839522828903</v>
      </c>
      <c r="N571">
        <v>1.9319999999999999</v>
      </c>
      <c r="O571">
        <f>(Table1[[#This Row],[P]]&lt;&gt;0)*(Table1[[#This Row],[C]]&lt;&gt;0)</f>
        <v>0</v>
      </c>
      <c r="P571">
        <f>NETWORKDAYS(Table1[[#This Row],[ts_event]],Table1[[#This Row],[option_expiry_date]])</f>
        <v>60</v>
      </c>
      <c r="Q571">
        <f>Table1[[#This Row],[Column2]]/252</f>
        <v>0.23809523809523808</v>
      </c>
      <c r="R571" s="2" t="e">
        <f>IF(Table1[[#This Row],[CHECK2]]=0,NA(),
-(1/Table1[[#This Row],[T]])*LN((Table1[[#This Row],[S0]]-Table1[[#This Row],[C]]+Table1[[#This Row],[P]])/Table1[[#This Row],[K]])
)</f>
        <v>#N/A</v>
      </c>
    </row>
    <row r="572" spans="1:18">
      <c r="A572">
        <v>1</v>
      </c>
      <c r="B572" t="s">
        <v>10</v>
      </c>
      <c r="C572" s="1">
        <v>46147</v>
      </c>
      <c r="D572" t="s">
        <v>16</v>
      </c>
      <c r="E572">
        <v>200</v>
      </c>
      <c r="F572" t="s">
        <v>12</v>
      </c>
      <c r="G572" t="s">
        <v>13</v>
      </c>
      <c r="H572" s="1">
        <v>46230</v>
      </c>
      <c r="I572">
        <v>0</v>
      </c>
      <c r="J572">
        <v>0.41</v>
      </c>
      <c r="K572">
        <v>0</v>
      </c>
      <c r="L572">
        <v>25</v>
      </c>
      <c r="M572">
        <v>47.089839522828903</v>
      </c>
      <c r="N572">
        <v>1.9319999999999999</v>
      </c>
      <c r="O572">
        <f>(Table1[[#This Row],[P]]&lt;&gt;0)*(Table1[[#This Row],[C]]&lt;&gt;0)</f>
        <v>0</v>
      </c>
      <c r="P572">
        <f>NETWORKDAYS(Table1[[#This Row],[ts_event]],Table1[[#This Row],[option_expiry_date]])</f>
        <v>60</v>
      </c>
      <c r="Q572">
        <f>Table1[[#This Row],[Column2]]/252</f>
        <v>0.23809523809523808</v>
      </c>
      <c r="R572" s="2" t="e">
        <f>IF(Table1[[#This Row],[CHECK2]]=0,NA(),
-(1/Table1[[#This Row],[T]])*LN((Table1[[#This Row],[S0]]-Table1[[#This Row],[C]]+Table1[[#This Row],[P]])/Table1[[#This Row],[K]])
)</f>
        <v>#N/A</v>
      </c>
    </row>
    <row r="573" spans="1:18">
      <c r="A573">
        <v>1</v>
      </c>
      <c r="B573" t="s">
        <v>10</v>
      </c>
      <c r="C573" s="1">
        <v>46147</v>
      </c>
      <c r="D573" t="s">
        <v>17</v>
      </c>
      <c r="E573">
        <v>47</v>
      </c>
      <c r="F573" t="s">
        <v>12</v>
      </c>
      <c r="G573" t="s">
        <v>13</v>
      </c>
      <c r="H573" s="1">
        <v>46260</v>
      </c>
      <c r="I573">
        <v>0</v>
      </c>
      <c r="J573">
        <v>8.0399999999999991</v>
      </c>
      <c r="K573">
        <v>0</v>
      </c>
      <c r="L573">
        <v>300</v>
      </c>
      <c r="M573">
        <v>47.097080564405999</v>
      </c>
      <c r="N573">
        <v>1.9319999999999999</v>
      </c>
      <c r="O573">
        <f>(Table1[[#This Row],[P]]&lt;&gt;0)*(Table1[[#This Row],[C]]&lt;&gt;0)</f>
        <v>0</v>
      </c>
      <c r="P573">
        <f>NETWORKDAYS(Table1[[#This Row],[ts_event]],Table1[[#This Row],[option_expiry_date]])</f>
        <v>82</v>
      </c>
      <c r="Q573">
        <f>Table1[[#This Row],[Column2]]/252</f>
        <v>0.32539682539682541</v>
      </c>
      <c r="R573" s="2" t="e">
        <f>IF(Table1[[#This Row],[CHECK2]]=0,NA(),
-(1/Table1[[#This Row],[T]])*LN((Table1[[#This Row],[S0]]-Table1[[#This Row],[C]]+Table1[[#This Row],[P]])/Table1[[#This Row],[K]])
)</f>
        <v>#N/A</v>
      </c>
    </row>
    <row r="574" spans="1:18">
      <c r="A574">
        <v>1</v>
      </c>
      <c r="B574" t="s">
        <v>10</v>
      </c>
      <c r="C574" s="1">
        <v>46147</v>
      </c>
      <c r="D574" t="s">
        <v>17</v>
      </c>
      <c r="E574">
        <v>50</v>
      </c>
      <c r="F574" t="s">
        <v>12</v>
      </c>
      <c r="G574" t="s">
        <v>13</v>
      </c>
      <c r="H574" s="1">
        <v>46260</v>
      </c>
      <c r="I574">
        <v>0</v>
      </c>
      <c r="J574">
        <v>7.4</v>
      </c>
      <c r="K574">
        <v>0</v>
      </c>
      <c r="L574">
        <v>550</v>
      </c>
      <c r="M574">
        <v>47.097080564405999</v>
      </c>
      <c r="N574">
        <v>1.9319999999999999</v>
      </c>
      <c r="O574">
        <f>(Table1[[#This Row],[P]]&lt;&gt;0)*(Table1[[#This Row],[C]]&lt;&gt;0)</f>
        <v>0</v>
      </c>
      <c r="P574">
        <f>NETWORKDAYS(Table1[[#This Row],[ts_event]],Table1[[#This Row],[option_expiry_date]])</f>
        <v>82</v>
      </c>
      <c r="Q574">
        <f>Table1[[#This Row],[Column2]]/252</f>
        <v>0.32539682539682541</v>
      </c>
      <c r="R574" s="2" t="e">
        <f>IF(Table1[[#This Row],[CHECK2]]=0,NA(),
-(1/Table1[[#This Row],[T]])*LN((Table1[[#This Row],[S0]]-Table1[[#This Row],[C]]+Table1[[#This Row],[P]])/Table1[[#This Row],[K]])
)</f>
        <v>#N/A</v>
      </c>
    </row>
    <row r="575" spans="1:18">
      <c r="A575">
        <v>1</v>
      </c>
      <c r="B575" t="s">
        <v>10</v>
      </c>
      <c r="C575" s="1">
        <v>46147</v>
      </c>
      <c r="D575" t="s">
        <v>17</v>
      </c>
      <c r="E575">
        <v>75</v>
      </c>
      <c r="F575" t="s">
        <v>12</v>
      </c>
      <c r="G575" t="s">
        <v>13</v>
      </c>
      <c r="H575" s="1">
        <v>46260</v>
      </c>
      <c r="I575">
        <v>0</v>
      </c>
      <c r="J575">
        <v>3.4</v>
      </c>
      <c r="K575">
        <v>0</v>
      </c>
      <c r="L575">
        <v>1125</v>
      </c>
      <c r="M575">
        <v>47.097080564405999</v>
      </c>
      <c r="N575">
        <v>1.9319999999999999</v>
      </c>
      <c r="O575">
        <f>(Table1[[#This Row],[P]]&lt;&gt;0)*(Table1[[#This Row],[C]]&lt;&gt;0)</f>
        <v>0</v>
      </c>
      <c r="P575">
        <f>NETWORKDAYS(Table1[[#This Row],[ts_event]],Table1[[#This Row],[option_expiry_date]])</f>
        <v>82</v>
      </c>
      <c r="Q575">
        <f>Table1[[#This Row],[Column2]]/252</f>
        <v>0.32539682539682541</v>
      </c>
      <c r="R575" s="2" t="e">
        <f>IF(Table1[[#This Row],[CHECK2]]=0,NA(),
-(1/Table1[[#This Row],[T]])*LN((Table1[[#This Row],[S0]]-Table1[[#This Row],[C]]+Table1[[#This Row],[P]])/Table1[[#This Row],[K]])
)</f>
        <v>#N/A</v>
      </c>
    </row>
    <row r="576" spans="1:18">
      <c r="A576">
        <v>1</v>
      </c>
      <c r="B576" t="s">
        <v>10</v>
      </c>
      <c r="C576" s="1">
        <v>46147</v>
      </c>
      <c r="D576" t="s">
        <v>17</v>
      </c>
      <c r="E576">
        <v>100</v>
      </c>
      <c r="F576" t="s">
        <v>12</v>
      </c>
      <c r="G576" t="s">
        <v>13</v>
      </c>
      <c r="H576" s="1">
        <v>46260</v>
      </c>
      <c r="I576">
        <v>0</v>
      </c>
      <c r="J576">
        <v>2.1</v>
      </c>
      <c r="K576">
        <v>0</v>
      </c>
      <c r="L576">
        <v>1325</v>
      </c>
      <c r="M576">
        <v>47.097080564405999</v>
      </c>
      <c r="N576">
        <v>1.9319999999999999</v>
      </c>
      <c r="O576">
        <f>(Table1[[#This Row],[P]]&lt;&gt;0)*(Table1[[#This Row],[C]]&lt;&gt;0)</f>
        <v>0</v>
      </c>
      <c r="P576">
        <f>NETWORKDAYS(Table1[[#This Row],[ts_event]],Table1[[#This Row],[option_expiry_date]])</f>
        <v>82</v>
      </c>
      <c r="Q576">
        <f>Table1[[#This Row],[Column2]]/252</f>
        <v>0.32539682539682541</v>
      </c>
      <c r="R576" s="2" t="e">
        <f>IF(Table1[[#This Row],[CHECK2]]=0,NA(),
-(1/Table1[[#This Row],[T]])*LN((Table1[[#This Row],[S0]]-Table1[[#This Row],[C]]+Table1[[#This Row],[P]])/Table1[[#This Row],[K]])
)</f>
        <v>#N/A</v>
      </c>
    </row>
    <row r="577" spans="1:18">
      <c r="A577">
        <v>1</v>
      </c>
      <c r="B577" t="s">
        <v>10</v>
      </c>
      <c r="C577" s="1">
        <v>46147</v>
      </c>
      <c r="D577" t="s">
        <v>17</v>
      </c>
      <c r="E577">
        <v>125</v>
      </c>
      <c r="F577" t="s">
        <v>12</v>
      </c>
      <c r="G577" t="s">
        <v>13</v>
      </c>
      <c r="H577" s="1">
        <v>46260</v>
      </c>
      <c r="I577">
        <v>0</v>
      </c>
      <c r="J577">
        <v>1.4</v>
      </c>
      <c r="K577">
        <v>0</v>
      </c>
      <c r="L577">
        <v>50</v>
      </c>
      <c r="M577">
        <v>47.097080564405999</v>
      </c>
      <c r="N577">
        <v>1.9319999999999999</v>
      </c>
      <c r="O577">
        <f>(Table1[[#This Row],[P]]&lt;&gt;0)*(Table1[[#This Row],[C]]&lt;&gt;0)</f>
        <v>0</v>
      </c>
      <c r="P577">
        <f>NETWORKDAYS(Table1[[#This Row],[ts_event]],Table1[[#This Row],[option_expiry_date]])</f>
        <v>82</v>
      </c>
      <c r="Q577">
        <f>Table1[[#This Row],[Column2]]/252</f>
        <v>0.32539682539682541</v>
      </c>
      <c r="R577" s="2" t="e">
        <f>IF(Table1[[#This Row],[CHECK2]]=0,NA(),
-(1/Table1[[#This Row],[T]])*LN((Table1[[#This Row],[S0]]-Table1[[#This Row],[C]]+Table1[[#This Row],[P]])/Table1[[#This Row],[K]])
)</f>
        <v>#N/A</v>
      </c>
    </row>
    <row r="578" spans="1:18">
      <c r="A578">
        <v>1</v>
      </c>
      <c r="B578" t="s">
        <v>10</v>
      </c>
      <c r="C578" s="1">
        <v>46147</v>
      </c>
      <c r="D578" t="s">
        <v>17</v>
      </c>
      <c r="E578">
        <v>200</v>
      </c>
      <c r="F578" t="s">
        <v>12</v>
      </c>
      <c r="G578" t="s">
        <v>13</v>
      </c>
      <c r="H578" s="1">
        <v>46260</v>
      </c>
      <c r="I578">
        <v>0</v>
      </c>
      <c r="J578">
        <v>0.53</v>
      </c>
      <c r="K578">
        <v>0</v>
      </c>
      <c r="L578">
        <v>50</v>
      </c>
      <c r="M578">
        <v>47.097080564405999</v>
      </c>
      <c r="N578">
        <v>1.9319999999999999</v>
      </c>
      <c r="O578">
        <f>(Table1[[#This Row],[P]]&lt;&gt;0)*(Table1[[#This Row],[C]]&lt;&gt;0)</f>
        <v>0</v>
      </c>
      <c r="P578">
        <f>NETWORKDAYS(Table1[[#This Row],[ts_event]],Table1[[#This Row],[option_expiry_date]])</f>
        <v>82</v>
      </c>
      <c r="Q578">
        <f>Table1[[#This Row],[Column2]]/252</f>
        <v>0.32539682539682541</v>
      </c>
      <c r="R578" s="2" t="e">
        <f>IF(Table1[[#This Row],[CHECK2]]=0,NA(),
-(1/Table1[[#This Row],[T]])*LN((Table1[[#This Row],[S0]]-Table1[[#This Row],[C]]+Table1[[#This Row],[P]])/Table1[[#This Row],[K]])
)</f>
        <v>#N/A</v>
      </c>
    </row>
    <row r="579" spans="1:18">
      <c r="A579">
        <v>1</v>
      </c>
      <c r="B579" t="s">
        <v>10</v>
      </c>
      <c r="C579" s="1">
        <v>46147</v>
      </c>
      <c r="D579" t="s">
        <v>18</v>
      </c>
      <c r="E579">
        <v>40</v>
      </c>
      <c r="F579" t="s">
        <v>12</v>
      </c>
      <c r="G579" t="s">
        <v>13</v>
      </c>
      <c r="H579" s="1">
        <v>46290</v>
      </c>
      <c r="I579">
        <v>4.4249999999999998</v>
      </c>
      <c r="J579">
        <v>0</v>
      </c>
      <c r="K579">
        <v>1165</v>
      </c>
      <c r="L579">
        <v>0</v>
      </c>
      <c r="M579">
        <v>46.824772168048803</v>
      </c>
      <c r="N579">
        <v>1.9319999999999999</v>
      </c>
      <c r="O579">
        <f>(Table1[[#This Row],[P]]&lt;&gt;0)*(Table1[[#This Row],[C]]&lt;&gt;0)</f>
        <v>0</v>
      </c>
      <c r="P579">
        <f>NETWORKDAYS(Table1[[#This Row],[ts_event]],Table1[[#This Row],[option_expiry_date]])</f>
        <v>104</v>
      </c>
      <c r="Q579">
        <f>Table1[[#This Row],[Column2]]/252</f>
        <v>0.41269841269841268</v>
      </c>
      <c r="R579" s="2" t="e">
        <f>IF(Table1[[#This Row],[CHECK2]]=0,NA(),
-(1/Table1[[#This Row],[T]])*LN((Table1[[#This Row],[S0]]-Table1[[#This Row],[C]]+Table1[[#This Row],[P]])/Table1[[#This Row],[K]])
)</f>
        <v>#N/A</v>
      </c>
    </row>
    <row r="580" spans="1:18">
      <c r="A580">
        <v>1</v>
      </c>
      <c r="B580" t="s">
        <v>10</v>
      </c>
      <c r="C580" s="1">
        <v>46147</v>
      </c>
      <c r="D580" t="s">
        <v>18</v>
      </c>
      <c r="E580">
        <v>50</v>
      </c>
      <c r="F580" t="s">
        <v>12</v>
      </c>
      <c r="G580" t="s">
        <v>13</v>
      </c>
      <c r="H580" s="1">
        <v>46290</v>
      </c>
      <c r="I580">
        <v>0</v>
      </c>
      <c r="J580">
        <v>8.75</v>
      </c>
      <c r="K580">
        <v>0</v>
      </c>
      <c r="L580">
        <v>1240</v>
      </c>
      <c r="M580">
        <v>46.824772168048803</v>
      </c>
      <c r="N580">
        <v>1.9319999999999999</v>
      </c>
      <c r="O580">
        <f>(Table1[[#This Row],[P]]&lt;&gt;0)*(Table1[[#This Row],[C]]&lt;&gt;0)</f>
        <v>0</v>
      </c>
      <c r="P580">
        <f>NETWORKDAYS(Table1[[#This Row],[ts_event]],Table1[[#This Row],[option_expiry_date]])</f>
        <v>104</v>
      </c>
      <c r="Q580">
        <f>Table1[[#This Row],[Column2]]/252</f>
        <v>0.41269841269841268</v>
      </c>
      <c r="R580" s="2" t="e">
        <f>IF(Table1[[#This Row],[CHECK2]]=0,NA(),
-(1/Table1[[#This Row],[T]])*LN((Table1[[#This Row],[S0]]-Table1[[#This Row],[C]]+Table1[[#This Row],[P]])/Table1[[#This Row],[K]])
)</f>
        <v>#N/A</v>
      </c>
    </row>
    <row r="581" spans="1:18">
      <c r="A581">
        <v>1</v>
      </c>
      <c r="B581" t="s">
        <v>10</v>
      </c>
      <c r="C581" s="1">
        <v>46147</v>
      </c>
      <c r="D581" t="s">
        <v>18</v>
      </c>
      <c r="E581">
        <v>55</v>
      </c>
      <c r="F581" t="s">
        <v>12</v>
      </c>
      <c r="G581" t="s">
        <v>13</v>
      </c>
      <c r="H581" s="1">
        <v>46290</v>
      </c>
      <c r="I581">
        <v>0</v>
      </c>
      <c r="J581">
        <v>6.43</v>
      </c>
      <c r="K581">
        <v>0</v>
      </c>
      <c r="L581">
        <v>250</v>
      </c>
      <c r="M581">
        <v>46.824772168048803</v>
      </c>
      <c r="N581">
        <v>1.9319999999999999</v>
      </c>
      <c r="O581">
        <f>(Table1[[#This Row],[P]]&lt;&gt;0)*(Table1[[#This Row],[C]]&lt;&gt;0)</f>
        <v>0</v>
      </c>
      <c r="P581">
        <f>NETWORKDAYS(Table1[[#This Row],[ts_event]],Table1[[#This Row],[option_expiry_date]])</f>
        <v>104</v>
      </c>
      <c r="Q581">
        <f>Table1[[#This Row],[Column2]]/252</f>
        <v>0.41269841269841268</v>
      </c>
      <c r="R581" s="2" t="e">
        <f>IF(Table1[[#This Row],[CHECK2]]=0,NA(),
-(1/Table1[[#This Row],[T]])*LN((Table1[[#This Row],[S0]]-Table1[[#This Row],[C]]+Table1[[#This Row],[P]])/Table1[[#This Row],[K]])
)</f>
        <v>#N/A</v>
      </c>
    </row>
    <row r="582" spans="1:18">
      <c r="A582">
        <v>1</v>
      </c>
      <c r="B582" t="s">
        <v>10</v>
      </c>
      <c r="C582" s="1">
        <v>46147</v>
      </c>
      <c r="D582" t="s">
        <v>18</v>
      </c>
      <c r="E582">
        <v>60</v>
      </c>
      <c r="F582" t="s">
        <v>12</v>
      </c>
      <c r="G582" t="s">
        <v>13</v>
      </c>
      <c r="H582" s="1">
        <v>46290</v>
      </c>
      <c r="I582">
        <v>0</v>
      </c>
      <c r="J582">
        <v>5.5</v>
      </c>
      <c r="K582">
        <v>0</v>
      </c>
      <c r="L582">
        <v>1874</v>
      </c>
      <c r="M582">
        <v>46.824772168048803</v>
      </c>
      <c r="N582">
        <v>1.9319999999999999</v>
      </c>
      <c r="O582">
        <f>(Table1[[#This Row],[P]]&lt;&gt;0)*(Table1[[#This Row],[C]]&lt;&gt;0)</f>
        <v>0</v>
      </c>
      <c r="P582">
        <f>NETWORKDAYS(Table1[[#This Row],[ts_event]],Table1[[#This Row],[option_expiry_date]])</f>
        <v>104</v>
      </c>
      <c r="Q582">
        <f>Table1[[#This Row],[Column2]]/252</f>
        <v>0.41269841269841268</v>
      </c>
      <c r="R582" s="2" t="e">
        <f>IF(Table1[[#This Row],[CHECK2]]=0,NA(),
-(1/Table1[[#This Row],[T]])*LN((Table1[[#This Row],[S0]]-Table1[[#This Row],[C]]+Table1[[#This Row],[P]])/Table1[[#This Row],[K]])
)</f>
        <v>#N/A</v>
      </c>
    </row>
    <row r="583" spans="1:18">
      <c r="A583">
        <v>1</v>
      </c>
      <c r="B583" t="s">
        <v>10</v>
      </c>
      <c r="C583" s="1">
        <v>46147</v>
      </c>
      <c r="D583" t="s">
        <v>18</v>
      </c>
      <c r="E583">
        <v>70</v>
      </c>
      <c r="F583" t="s">
        <v>12</v>
      </c>
      <c r="G583" t="s">
        <v>13</v>
      </c>
      <c r="H583" s="1">
        <v>46290</v>
      </c>
      <c r="I583">
        <v>0</v>
      </c>
      <c r="J583">
        <v>4.8</v>
      </c>
      <c r="K583">
        <v>0</v>
      </c>
      <c r="L583">
        <v>1854</v>
      </c>
      <c r="M583">
        <v>46.824772168048803</v>
      </c>
      <c r="N583">
        <v>1.9319999999999999</v>
      </c>
      <c r="O583">
        <f>(Table1[[#This Row],[P]]&lt;&gt;0)*(Table1[[#This Row],[C]]&lt;&gt;0)</f>
        <v>0</v>
      </c>
      <c r="P583">
        <f>NETWORKDAYS(Table1[[#This Row],[ts_event]],Table1[[#This Row],[option_expiry_date]])</f>
        <v>104</v>
      </c>
      <c r="Q583">
        <f>Table1[[#This Row],[Column2]]/252</f>
        <v>0.41269841269841268</v>
      </c>
      <c r="R583" s="2" t="e">
        <f>IF(Table1[[#This Row],[CHECK2]]=0,NA(),
-(1/Table1[[#This Row],[T]])*LN((Table1[[#This Row],[S0]]-Table1[[#This Row],[C]]+Table1[[#This Row],[P]])/Table1[[#This Row],[K]])
)</f>
        <v>#N/A</v>
      </c>
    </row>
    <row r="584" spans="1:18">
      <c r="A584">
        <v>1</v>
      </c>
      <c r="B584" t="s">
        <v>10</v>
      </c>
      <c r="C584" s="1">
        <v>46147</v>
      </c>
      <c r="D584" t="s">
        <v>19</v>
      </c>
      <c r="E584">
        <v>25</v>
      </c>
      <c r="F584" t="s">
        <v>12</v>
      </c>
      <c r="G584" t="s">
        <v>13</v>
      </c>
      <c r="H584" s="1">
        <v>46380</v>
      </c>
      <c r="I584">
        <v>0.59</v>
      </c>
      <c r="J584">
        <v>0</v>
      </c>
      <c r="K584">
        <v>57</v>
      </c>
      <c r="L584">
        <v>0</v>
      </c>
      <c r="M584">
        <v>46.3906981830417</v>
      </c>
      <c r="N584">
        <v>1.9319999999999999</v>
      </c>
      <c r="O584">
        <f>(Table1[[#This Row],[P]]&lt;&gt;0)*(Table1[[#This Row],[C]]&lt;&gt;0)</f>
        <v>0</v>
      </c>
      <c r="P584">
        <f>NETWORKDAYS(Table1[[#This Row],[ts_event]],Table1[[#This Row],[option_expiry_date]])</f>
        <v>168</v>
      </c>
      <c r="Q584">
        <f>Table1[[#This Row],[Column2]]/252</f>
        <v>0.66666666666666663</v>
      </c>
      <c r="R584" s="2" t="e">
        <f>IF(Table1[[#This Row],[CHECK2]]=0,NA(),
-(1/Table1[[#This Row],[T]])*LN((Table1[[#This Row],[S0]]-Table1[[#This Row],[C]]+Table1[[#This Row],[P]])/Table1[[#This Row],[K]])
)</f>
        <v>#N/A</v>
      </c>
    </row>
    <row r="585" spans="1:18">
      <c r="A585">
        <v>1</v>
      </c>
      <c r="B585" t="s">
        <v>10</v>
      </c>
      <c r="C585" s="1">
        <v>46147</v>
      </c>
      <c r="D585" t="s">
        <v>19</v>
      </c>
      <c r="E585">
        <v>35</v>
      </c>
      <c r="F585" t="s">
        <v>12</v>
      </c>
      <c r="G585" t="s">
        <v>13</v>
      </c>
      <c r="H585" s="1">
        <v>46380</v>
      </c>
      <c r="I585">
        <v>3.37</v>
      </c>
      <c r="J585">
        <v>0</v>
      </c>
      <c r="K585">
        <v>1047</v>
      </c>
      <c r="L585">
        <v>0</v>
      </c>
      <c r="M585">
        <v>46.3906981830417</v>
      </c>
      <c r="N585">
        <v>1.9319999999999999</v>
      </c>
      <c r="O585">
        <f>(Table1[[#This Row],[P]]&lt;&gt;0)*(Table1[[#This Row],[C]]&lt;&gt;0)</f>
        <v>0</v>
      </c>
      <c r="P585">
        <f>NETWORKDAYS(Table1[[#This Row],[ts_event]],Table1[[#This Row],[option_expiry_date]])</f>
        <v>168</v>
      </c>
      <c r="Q585">
        <f>Table1[[#This Row],[Column2]]/252</f>
        <v>0.66666666666666663</v>
      </c>
      <c r="R585" s="2" t="e">
        <f>IF(Table1[[#This Row],[CHECK2]]=0,NA(),
-(1/Table1[[#This Row],[T]])*LN((Table1[[#This Row],[S0]]-Table1[[#This Row],[C]]+Table1[[#This Row],[P]])/Table1[[#This Row],[K]])
)</f>
        <v>#N/A</v>
      </c>
    </row>
    <row r="586" spans="1:18">
      <c r="A586">
        <v>1</v>
      </c>
      <c r="B586" t="s">
        <v>10</v>
      </c>
      <c r="C586" s="1">
        <v>46147</v>
      </c>
      <c r="D586" t="s">
        <v>19</v>
      </c>
      <c r="E586">
        <v>43</v>
      </c>
      <c r="F586" t="s">
        <v>12</v>
      </c>
      <c r="G586" t="s">
        <v>13</v>
      </c>
      <c r="H586" s="1">
        <v>46380</v>
      </c>
      <c r="I586">
        <v>0</v>
      </c>
      <c r="J586">
        <v>11.25</v>
      </c>
      <c r="K586">
        <v>0</v>
      </c>
      <c r="L586">
        <v>50</v>
      </c>
      <c r="M586">
        <v>46.3906981830417</v>
      </c>
      <c r="N586">
        <v>1.9319999999999999</v>
      </c>
      <c r="O586">
        <f>(Table1[[#This Row],[P]]&lt;&gt;0)*(Table1[[#This Row],[C]]&lt;&gt;0)</f>
        <v>0</v>
      </c>
      <c r="P586">
        <f>NETWORKDAYS(Table1[[#This Row],[ts_event]],Table1[[#This Row],[option_expiry_date]])</f>
        <v>168</v>
      </c>
      <c r="Q586">
        <f>Table1[[#This Row],[Column2]]/252</f>
        <v>0.66666666666666663</v>
      </c>
      <c r="R586" s="2" t="e">
        <f>IF(Table1[[#This Row],[CHECK2]]=0,NA(),
-(1/Table1[[#This Row],[T]])*LN((Table1[[#This Row],[S0]]-Table1[[#This Row],[C]]+Table1[[#This Row],[P]])/Table1[[#This Row],[K]])
)</f>
        <v>#N/A</v>
      </c>
    </row>
    <row r="587" spans="1:18">
      <c r="A587">
        <v>1</v>
      </c>
      <c r="B587" t="s">
        <v>10</v>
      </c>
      <c r="C587" s="1">
        <v>46147</v>
      </c>
      <c r="D587" t="s">
        <v>19</v>
      </c>
      <c r="E587">
        <v>55</v>
      </c>
      <c r="F587" t="s">
        <v>12</v>
      </c>
      <c r="G587" t="s">
        <v>13</v>
      </c>
      <c r="H587" s="1">
        <v>46380</v>
      </c>
      <c r="I587">
        <v>0</v>
      </c>
      <c r="J587">
        <v>8.7249999999999996</v>
      </c>
      <c r="K587">
        <v>0</v>
      </c>
      <c r="L587">
        <v>100</v>
      </c>
      <c r="M587">
        <v>46.3906981830417</v>
      </c>
      <c r="N587">
        <v>1.9319999999999999</v>
      </c>
      <c r="O587">
        <f>(Table1[[#This Row],[P]]&lt;&gt;0)*(Table1[[#This Row],[C]]&lt;&gt;0)</f>
        <v>0</v>
      </c>
      <c r="P587">
        <f>NETWORKDAYS(Table1[[#This Row],[ts_event]],Table1[[#This Row],[option_expiry_date]])</f>
        <v>168</v>
      </c>
      <c r="Q587">
        <f>Table1[[#This Row],[Column2]]/252</f>
        <v>0.66666666666666663</v>
      </c>
      <c r="R587" s="2" t="e">
        <f>IF(Table1[[#This Row],[CHECK2]]=0,NA(),
-(1/Table1[[#This Row],[T]])*LN((Table1[[#This Row],[S0]]-Table1[[#This Row],[C]]+Table1[[#This Row],[P]])/Table1[[#This Row],[K]])
)</f>
        <v>#N/A</v>
      </c>
    </row>
    <row r="588" spans="1:18">
      <c r="A588">
        <v>1</v>
      </c>
      <c r="B588" t="s">
        <v>10</v>
      </c>
      <c r="C588" s="1">
        <v>46147</v>
      </c>
      <c r="D588" t="s">
        <v>19</v>
      </c>
      <c r="E588">
        <v>65</v>
      </c>
      <c r="F588" t="s">
        <v>12</v>
      </c>
      <c r="G588" t="s">
        <v>13</v>
      </c>
      <c r="H588" s="1">
        <v>46380</v>
      </c>
      <c r="I588">
        <v>0</v>
      </c>
      <c r="J588">
        <v>7.14</v>
      </c>
      <c r="K588">
        <v>0</v>
      </c>
      <c r="L588">
        <v>285</v>
      </c>
      <c r="M588">
        <v>46.3906981830417</v>
      </c>
      <c r="N588">
        <v>1.9319999999999999</v>
      </c>
      <c r="O588">
        <f>(Table1[[#This Row],[P]]&lt;&gt;0)*(Table1[[#This Row],[C]]&lt;&gt;0)</f>
        <v>0</v>
      </c>
      <c r="P588">
        <f>NETWORKDAYS(Table1[[#This Row],[ts_event]],Table1[[#This Row],[option_expiry_date]])</f>
        <v>168</v>
      </c>
      <c r="Q588">
        <f>Table1[[#This Row],[Column2]]/252</f>
        <v>0.66666666666666663</v>
      </c>
      <c r="R588" s="2" t="e">
        <f>IF(Table1[[#This Row],[CHECK2]]=0,NA(),
-(1/Table1[[#This Row],[T]])*LN((Table1[[#This Row],[S0]]-Table1[[#This Row],[C]]+Table1[[#This Row],[P]])/Table1[[#This Row],[K]])
)</f>
        <v>#N/A</v>
      </c>
    </row>
    <row r="589" spans="1:18">
      <c r="A589">
        <v>1</v>
      </c>
      <c r="B589" t="s">
        <v>10</v>
      </c>
      <c r="C589" s="1">
        <v>46147</v>
      </c>
      <c r="D589" t="s">
        <v>19</v>
      </c>
      <c r="E589">
        <v>85</v>
      </c>
      <c r="F589" t="s">
        <v>12</v>
      </c>
      <c r="G589" t="s">
        <v>13</v>
      </c>
      <c r="H589" s="1">
        <v>46380</v>
      </c>
      <c r="I589">
        <v>0</v>
      </c>
      <c r="J589">
        <v>4.72</v>
      </c>
      <c r="K589">
        <v>0</v>
      </c>
      <c r="L589">
        <v>50</v>
      </c>
      <c r="M589">
        <v>46.3906981830417</v>
      </c>
      <c r="N589">
        <v>1.9319999999999999</v>
      </c>
      <c r="O589">
        <f>(Table1[[#This Row],[P]]&lt;&gt;0)*(Table1[[#This Row],[C]]&lt;&gt;0)</f>
        <v>0</v>
      </c>
      <c r="P589">
        <f>NETWORKDAYS(Table1[[#This Row],[ts_event]],Table1[[#This Row],[option_expiry_date]])</f>
        <v>168</v>
      </c>
      <c r="Q589">
        <f>Table1[[#This Row],[Column2]]/252</f>
        <v>0.66666666666666663</v>
      </c>
      <c r="R589" s="2" t="e">
        <f>IF(Table1[[#This Row],[CHECK2]]=0,NA(),
-(1/Table1[[#This Row],[T]])*LN((Table1[[#This Row],[S0]]-Table1[[#This Row],[C]]+Table1[[#This Row],[P]])/Table1[[#This Row],[K]])
)</f>
        <v>#N/A</v>
      </c>
    </row>
    <row r="590" spans="1:18">
      <c r="A590">
        <v>2</v>
      </c>
      <c r="B590" t="s">
        <v>10</v>
      </c>
      <c r="C590" s="1">
        <v>46147</v>
      </c>
      <c r="D590" t="s">
        <v>24</v>
      </c>
      <c r="E590">
        <v>25</v>
      </c>
      <c r="F590" t="s">
        <v>12</v>
      </c>
      <c r="G590" t="s">
        <v>13</v>
      </c>
      <c r="H590" s="1">
        <v>46414</v>
      </c>
      <c r="I590">
        <v>0.84249999999999903</v>
      </c>
      <c r="J590">
        <v>0</v>
      </c>
      <c r="K590">
        <v>114</v>
      </c>
      <c r="L590">
        <v>0</v>
      </c>
      <c r="M590">
        <v>45.864078995267498</v>
      </c>
      <c r="N590">
        <v>1.9319999999999999</v>
      </c>
      <c r="O590">
        <f>(Table1[[#This Row],[P]]&lt;&gt;0)*(Table1[[#This Row],[C]]&lt;&gt;0)</f>
        <v>0</v>
      </c>
      <c r="P590">
        <f>NETWORKDAYS(Table1[[#This Row],[ts_event]],Table1[[#This Row],[option_expiry_date]])</f>
        <v>192</v>
      </c>
      <c r="Q590">
        <f>Table1[[#This Row],[Column2]]/252</f>
        <v>0.76190476190476186</v>
      </c>
      <c r="R590" s="2" t="e">
        <f>IF(Table1[[#This Row],[CHECK2]]=0,NA(),
-(1/Table1[[#This Row],[T]])*LN((Table1[[#This Row],[S0]]-Table1[[#This Row],[C]]+Table1[[#This Row],[P]])/Table1[[#This Row],[K]])
)</f>
        <v>#N/A</v>
      </c>
    </row>
    <row r="591" spans="1:18">
      <c r="A591">
        <v>2</v>
      </c>
      <c r="B591" t="s">
        <v>10</v>
      </c>
      <c r="C591" s="1">
        <v>46147</v>
      </c>
      <c r="D591" t="s">
        <v>24</v>
      </c>
      <c r="E591">
        <v>35</v>
      </c>
      <c r="F591" t="s">
        <v>12</v>
      </c>
      <c r="G591" t="s">
        <v>13</v>
      </c>
      <c r="H591" s="1">
        <v>46414</v>
      </c>
      <c r="I591">
        <v>4.3123233695652097</v>
      </c>
      <c r="J591">
        <v>0</v>
      </c>
      <c r="K591">
        <v>1104</v>
      </c>
      <c r="L591">
        <v>0</v>
      </c>
      <c r="M591">
        <v>45.864078995267498</v>
      </c>
      <c r="N591">
        <v>1.9319999999999999</v>
      </c>
      <c r="O591">
        <f>(Table1[[#This Row],[P]]&lt;&gt;0)*(Table1[[#This Row],[C]]&lt;&gt;0)</f>
        <v>0</v>
      </c>
      <c r="P591">
        <f>NETWORKDAYS(Table1[[#This Row],[ts_event]],Table1[[#This Row],[option_expiry_date]])</f>
        <v>192</v>
      </c>
      <c r="Q591">
        <f>Table1[[#This Row],[Column2]]/252</f>
        <v>0.76190476190476186</v>
      </c>
      <c r="R591" s="2" t="e">
        <f>IF(Table1[[#This Row],[CHECK2]]=0,NA(),
-(1/Table1[[#This Row],[T]])*LN((Table1[[#This Row],[S0]]-Table1[[#This Row],[C]]+Table1[[#This Row],[P]])/Table1[[#This Row],[K]])
)</f>
        <v>#N/A</v>
      </c>
    </row>
    <row r="592" spans="1:18">
      <c r="A592">
        <v>2</v>
      </c>
      <c r="B592" t="s">
        <v>10</v>
      </c>
      <c r="C592" s="1">
        <v>46147</v>
      </c>
      <c r="D592" t="s">
        <v>24</v>
      </c>
      <c r="E592">
        <v>55</v>
      </c>
      <c r="F592" t="s">
        <v>12</v>
      </c>
      <c r="G592" t="s">
        <v>13</v>
      </c>
      <c r="H592" s="1">
        <v>46414</v>
      </c>
      <c r="I592">
        <v>0</v>
      </c>
      <c r="J592">
        <v>9.4506329113924004</v>
      </c>
      <c r="K592">
        <v>0</v>
      </c>
      <c r="L592">
        <v>237</v>
      </c>
      <c r="M592">
        <v>45.864078995267498</v>
      </c>
      <c r="N592">
        <v>1.9319999999999999</v>
      </c>
      <c r="O592">
        <f>(Table1[[#This Row],[P]]&lt;&gt;0)*(Table1[[#This Row],[C]]&lt;&gt;0)</f>
        <v>0</v>
      </c>
      <c r="P592">
        <f>NETWORKDAYS(Table1[[#This Row],[ts_event]],Table1[[#This Row],[option_expiry_date]])</f>
        <v>192</v>
      </c>
      <c r="Q592">
        <f>Table1[[#This Row],[Column2]]/252</f>
        <v>0.76190476190476186</v>
      </c>
      <c r="R592" s="2" t="e">
        <f>IF(Table1[[#This Row],[CHECK2]]=0,NA(),
-(1/Table1[[#This Row],[T]])*LN((Table1[[#This Row],[S0]]-Table1[[#This Row],[C]]+Table1[[#This Row],[P]])/Table1[[#This Row],[K]])
)</f>
        <v>#N/A</v>
      </c>
    </row>
    <row r="593" spans="1:18">
      <c r="A593">
        <v>2</v>
      </c>
      <c r="B593" t="s">
        <v>10</v>
      </c>
      <c r="C593" s="1">
        <v>46147</v>
      </c>
      <c r="D593" t="s">
        <v>24</v>
      </c>
      <c r="E593">
        <v>65</v>
      </c>
      <c r="F593" t="s">
        <v>12</v>
      </c>
      <c r="G593" t="s">
        <v>13</v>
      </c>
      <c r="H593" s="1">
        <v>46414</v>
      </c>
      <c r="I593">
        <v>0</v>
      </c>
      <c r="J593">
        <v>7.8011848341232204</v>
      </c>
      <c r="K593">
        <v>0</v>
      </c>
      <c r="L593">
        <v>422</v>
      </c>
      <c r="M593">
        <v>45.864078995267498</v>
      </c>
      <c r="N593">
        <v>1.9319999999999999</v>
      </c>
      <c r="O593">
        <f>(Table1[[#This Row],[P]]&lt;&gt;0)*(Table1[[#This Row],[C]]&lt;&gt;0)</f>
        <v>0</v>
      </c>
      <c r="P593">
        <f>NETWORKDAYS(Table1[[#This Row],[ts_event]],Table1[[#This Row],[option_expiry_date]])</f>
        <v>192</v>
      </c>
      <c r="Q593">
        <f>Table1[[#This Row],[Column2]]/252</f>
        <v>0.76190476190476186</v>
      </c>
      <c r="R593" s="2" t="e">
        <f>IF(Table1[[#This Row],[CHECK2]]=0,NA(),
-(1/Table1[[#This Row],[T]])*LN((Table1[[#This Row],[S0]]-Table1[[#This Row],[C]]+Table1[[#This Row],[P]])/Table1[[#This Row],[K]])
)</f>
        <v>#N/A</v>
      </c>
    </row>
    <row r="594" spans="1:18">
      <c r="A594">
        <v>1</v>
      </c>
      <c r="B594" t="s">
        <v>10</v>
      </c>
      <c r="C594" s="1">
        <v>46148</v>
      </c>
      <c r="D594" t="s">
        <v>14</v>
      </c>
      <c r="E594">
        <v>30</v>
      </c>
      <c r="F594" t="s">
        <v>12</v>
      </c>
      <c r="G594" t="s">
        <v>13</v>
      </c>
      <c r="H594" s="1">
        <v>46169</v>
      </c>
      <c r="I594">
        <v>0.1</v>
      </c>
      <c r="J594">
        <v>0</v>
      </c>
      <c r="K594">
        <v>200</v>
      </c>
      <c r="L594">
        <v>0</v>
      </c>
      <c r="M594">
        <v>43.879388072808503</v>
      </c>
      <c r="N594">
        <v>1.931</v>
      </c>
      <c r="O594">
        <f>(Table1[[#This Row],[P]]&lt;&gt;0)*(Table1[[#This Row],[C]]&lt;&gt;0)</f>
        <v>0</v>
      </c>
      <c r="P594">
        <f>NETWORKDAYS(Table1[[#This Row],[ts_event]],Table1[[#This Row],[option_expiry_date]])</f>
        <v>16</v>
      </c>
      <c r="Q594">
        <f>Table1[[#This Row],[Column2]]/252</f>
        <v>6.3492063492063489E-2</v>
      </c>
      <c r="R594" s="2" t="e">
        <f>IF(Table1[[#This Row],[CHECK2]]=0,NA(),
-(1/Table1[[#This Row],[T]])*LN((Table1[[#This Row],[S0]]-Table1[[#This Row],[C]]+Table1[[#This Row],[P]])/Table1[[#This Row],[K]])
)</f>
        <v>#N/A</v>
      </c>
    </row>
    <row r="595" spans="1:18">
      <c r="A595">
        <v>2</v>
      </c>
      <c r="B595" t="s">
        <v>10</v>
      </c>
      <c r="C595" s="1">
        <v>46148</v>
      </c>
      <c r="D595" t="s">
        <v>14</v>
      </c>
      <c r="E595">
        <v>33</v>
      </c>
      <c r="F595" t="s">
        <v>12</v>
      </c>
      <c r="G595" t="s">
        <v>13</v>
      </c>
      <c r="H595" s="1">
        <v>46169</v>
      </c>
      <c r="I595">
        <v>0.26250000000000001</v>
      </c>
      <c r="J595">
        <v>0</v>
      </c>
      <c r="K595">
        <v>600</v>
      </c>
      <c r="L595">
        <v>0</v>
      </c>
      <c r="M595">
        <v>43.879388072808503</v>
      </c>
      <c r="N595">
        <v>1.931</v>
      </c>
      <c r="O595">
        <f>(Table1[[#This Row],[P]]&lt;&gt;0)*(Table1[[#This Row],[C]]&lt;&gt;0)</f>
        <v>0</v>
      </c>
      <c r="P595">
        <f>NETWORKDAYS(Table1[[#This Row],[ts_event]],Table1[[#This Row],[option_expiry_date]])</f>
        <v>16</v>
      </c>
      <c r="Q595">
        <f>Table1[[#This Row],[Column2]]/252</f>
        <v>6.3492063492063489E-2</v>
      </c>
      <c r="R595" s="2" t="e">
        <f>IF(Table1[[#This Row],[CHECK2]]=0,NA(),
-(1/Table1[[#This Row],[T]])*LN((Table1[[#This Row],[S0]]-Table1[[#This Row],[C]]+Table1[[#This Row],[P]])/Table1[[#This Row],[K]])
)</f>
        <v>#N/A</v>
      </c>
    </row>
    <row r="596" spans="1:18">
      <c r="A596">
        <v>1</v>
      </c>
      <c r="B596" t="s">
        <v>10</v>
      </c>
      <c r="C596" s="1">
        <v>46148</v>
      </c>
      <c r="D596" t="s">
        <v>14</v>
      </c>
      <c r="E596">
        <v>34</v>
      </c>
      <c r="F596" t="s">
        <v>12</v>
      </c>
      <c r="G596" t="s">
        <v>13</v>
      </c>
      <c r="H596" s="1">
        <v>46169</v>
      </c>
      <c r="I596">
        <v>0.39500000000000002</v>
      </c>
      <c r="J596">
        <v>0</v>
      </c>
      <c r="K596">
        <v>10</v>
      </c>
      <c r="L596">
        <v>0</v>
      </c>
      <c r="M596">
        <v>43.879388072808503</v>
      </c>
      <c r="N596">
        <v>1.931</v>
      </c>
      <c r="O596">
        <f>(Table1[[#This Row],[P]]&lt;&gt;0)*(Table1[[#This Row],[C]]&lt;&gt;0)</f>
        <v>0</v>
      </c>
      <c r="P596">
        <f>NETWORKDAYS(Table1[[#This Row],[ts_event]],Table1[[#This Row],[option_expiry_date]])</f>
        <v>16</v>
      </c>
      <c r="Q596">
        <f>Table1[[#This Row],[Column2]]/252</f>
        <v>6.3492063492063489E-2</v>
      </c>
      <c r="R596" s="2" t="e">
        <f>IF(Table1[[#This Row],[CHECK2]]=0,NA(),
-(1/Table1[[#This Row],[T]])*LN((Table1[[#This Row],[S0]]-Table1[[#This Row],[C]]+Table1[[#This Row],[P]])/Table1[[#This Row],[K]])
)</f>
        <v>#N/A</v>
      </c>
    </row>
    <row r="597" spans="1:18">
      <c r="A597">
        <v>2</v>
      </c>
      <c r="B597" t="s">
        <v>10</v>
      </c>
      <c r="C597" s="1">
        <v>46148</v>
      </c>
      <c r="D597" t="s">
        <v>14</v>
      </c>
      <c r="E597">
        <v>35</v>
      </c>
      <c r="F597" t="s">
        <v>12</v>
      </c>
      <c r="G597" t="s">
        <v>13</v>
      </c>
      <c r="H597" s="1">
        <v>46169</v>
      </c>
      <c r="I597">
        <v>0.51317503392130204</v>
      </c>
      <c r="J597">
        <v>0</v>
      </c>
      <c r="K597">
        <v>3685</v>
      </c>
      <c r="L597">
        <v>0</v>
      </c>
      <c r="M597">
        <v>43.879388072808503</v>
      </c>
      <c r="N597">
        <v>1.931</v>
      </c>
      <c r="O597">
        <f>(Table1[[#This Row],[P]]&lt;&gt;0)*(Table1[[#This Row],[C]]&lt;&gt;0)</f>
        <v>0</v>
      </c>
      <c r="P597">
        <f>NETWORKDAYS(Table1[[#This Row],[ts_event]],Table1[[#This Row],[option_expiry_date]])</f>
        <v>16</v>
      </c>
      <c r="Q597">
        <f>Table1[[#This Row],[Column2]]/252</f>
        <v>6.3492063492063489E-2</v>
      </c>
      <c r="R597" s="2" t="e">
        <f>IF(Table1[[#This Row],[CHECK2]]=0,NA(),
-(1/Table1[[#This Row],[T]])*LN((Table1[[#This Row],[S0]]-Table1[[#This Row],[C]]+Table1[[#This Row],[P]])/Table1[[#This Row],[K]])
)</f>
        <v>#N/A</v>
      </c>
    </row>
    <row r="598" spans="1:18">
      <c r="A598">
        <v>1</v>
      </c>
      <c r="B598" t="s">
        <v>10</v>
      </c>
      <c r="C598" s="1">
        <v>46148</v>
      </c>
      <c r="D598" t="s">
        <v>14</v>
      </c>
      <c r="E598">
        <v>36</v>
      </c>
      <c r="F598" t="s">
        <v>12</v>
      </c>
      <c r="G598" t="s">
        <v>13</v>
      </c>
      <c r="H598" s="1">
        <v>46169</v>
      </c>
      <c r="I598">
        <v>0.8</v>
      </c>
      <c r="J598">
        <v>0</v>
      </c>
      <c r="K598">
        <v>650</v>
      </c>
      <c r="L598">
        <v>0</v>
      </c>
      <c r="M598">
        <v>43.879388072808503</v>
      </c>
      <c r="N598">
        <v>1.931</v>
      </c>
      <c r="O598">
        <f>(Table1[[#This Row],[P]]&lt;&gt;0)*(Table1[[#This Row],[C]]&lt;&gt;0)</f>
        <v>0</v>
      </c>
      <c r="P598">
        <f>NETWORKDAYS(Table1[[#This Row],[ts_event]],Table1[[#This Row],[option_expiry_date]])</f>
        <v>16</v>
      </c>
      <c r="Q598">
        <f>Table1[[#This Row],[Column2]]/252</f>
        <v>6.3492063492063489E-2</v>
      </c>
      <c r="R598" s="2" t="e">
        <f>IF(Table1[[#This Row],[CHECK2]]=0,NA(),
-(1/Table1[[#This Row],[T]])*LN((Table1[[#This Row],[S0]]-Table1[[#This Row],[C]]+Table1[[#This Row],[P]])/Table1[[#This Row],[K]])
)</f>
        <v>#N/A</v>
      </c>
    </row>
    <row r="599" spans="1:18">
      <c r="A599">
        <v>2</v>
      </c>
      <c r="B599" t="s">
        <v>10</v>
      </c>
      <c r="C599" s="1">
        <v>46148</v>
      </c>
      <c r="D599" t="s">
        <v>14</v>
      </c>
      <c r="E599">
        <v>37</v>
      </c>
      <c r="F599" t="s">
        <v>12</v>
      </c>
      <c r="G599" t="s">
        <v>13</v>
      </c>
      <c r="H599" s="1">
        <v>46169</v>
      </c>
      <c r="I599">
        <v>0.740253054101221</v>
      </c>
      <c r="J599">
        <v>0</v>
      </c>
      <c r="K599">
        <v>2865</v>
      </c>
      <c r="L599">
        <v>0</v>
      </c>
      <c r="M599">
        <v>43.879388072808503</v>
      </c>
      <c r="N599">
        <v>1.931</v>
      </c>
      <c r="O599">
        <f>(Table1[[#This Row],[P]]&lt;&gt;0)*(Table1[[#This Row],[C]]&lt;&gt;0)</f>
        <v>0</v>
      </c>
      <c r="P599">
        <f>NETWORKDAYS(Table1[[#This Row],[ts_event]],Table1[[#This Row],[option_expiry_date]])</f>
        <v>16</v>
      </c>
      <c r="Q599">
        <f>Table1[[#This Row],[Column2]]/252</f>
        <v>6.3492063492063489E-2</v>
      </c>
      <c r="R599" s="2" t="e">
        <f>IF(Table1[[#This Row],[CHECK2]]=0,NA(),
-(1/Table1[[#This Row],[T]])*LN((Table1[[#This Row],[S0]]-Table1[[#This Row],[C]]+Table1[[#This Row],[P]])/Table1[[#This Row],[K]])
)</f>
        <v>#N/A</v>
      </c>
    </row>
    <row r="600" spans="1:18">
      <c r="A600">
        <v>1</v>
      </c>
      <c r="B600" t="s">
        <v>10</v>
      </c>
      <c r="C600" s="1">
        <v>46148</v>
      </c>
      <c r="D600" t="s">
        <v>14</v>
      </c>
      <c r="E600">
        <v>38</v>
      </c>
      <c r="F600" t="s">
        <v>12</v>
      </c>
      <c r="G600" t="s">
        <v>13</v>
      </c>
      <c r="H600" s="1">
        <v>46169</v>
      </c>
      <c r="I600">
        <v>1.2</v>
      </c>
      <c r="J600">
        <v>0</v>
      </c>
      <c r="K600">
        <v>625</v>
      </c>
      <c r="L600">
        <v>0</v>
      </c>
      <c r="M600">
        <v>43.879388072808503</v>
      </c>
      <c r="N600">
        <v>1.931</v>
      </c>
      <c r="O600">
        <f>(Table1[[#This Row],[P]]&lt;&gt;0)*(Table1[[#This Row],[C]]&lt;&gt;0)</f>
        <v>0</v>
      </c>
      <c r="P600">
        <f>NETWORKDAYS(Table1[[#This Row],[ts_event]],Table1[[#This Row],[option_expiry_date]])</f>
        <v>16</v>
      </c>
      <c r="Q600">
        <f>Table1[[#This Row],[Column2]]/252</f>
        <v>6.3492063492063489E-2</v>
      </c>
      <c r="R600" s="2" t="e">
        <f>IF(Table1[[#This Row],[CHECK2]]=0,NA(),
-(1/Table1[[#This Row],[T]])*LN((Table1[[#This Row],[S0]]-Table1[[#This Row],[C]]+Table1[[#This Row],[P]])/Table1[[#This Row],[K]])
)</f>
        <v>#N/A</v>
      </c>
    </row>
    <row r="601" spans="1:18">
      <c r="A601">
        <v>2</v>
      </c>
      <c r="B601" t="s">
        <v>10</v>
      </c>
      <c r="C601" s="1">
        <v>46148</v>
      </c>
      <c r="D601" t="s">
        <v>14</v>
      </c>
      <c r="E601">
        <v>39</v>
      </c>
      <c r="F601" t="s">
        <v>12</v>
      </c>
      <c r="G601" t="s">
        <v>13</v>
      </c>
      <c r="H601" s="1">
        <v>46169</v>
      </c>
      <c r="I601">
        <v>0.90630434782608604</v>
      </c>
      <c r="J601">
        <v>0</v>
      </c>
      <c r="K601">
        <v>115</v>
      </c>
      <c r="L601">
        <v>0</v>
      </c>
      <c r="M601">
        <v>43.879388072808503</v>
      </c>
      <c r="N601">
        <v>1.931</v>
      </c>
      <c r="O601">
        <f>(Table1[[#This Row],[P]]&lt;&gt;0)*(Table1[[#This Row],[C]]&lt;&gt;0)</f>
        <v>0</v>
      </c>
      <c r="P601">
        <f>NETWORKDAYS(Table1[[#This Row],[ts_event]],Table1[[#This Row],[option_expiry_date]])</f>
        <v>16</v>
      </c>
      <c r="Q601">
        <f>Table1[[#This Row],[Column2]]/252</f>
        <v>6.3492063492063489E-2</v>
      </c>
      <c r="R601" s="2" t="e">
        <f>IF(Table1[[#This Row],[CHECK2]]=0,NA(),
-(1/Table1[[#This Row],[T]])*LN((Table1[[#This Row],[S0]]-Table1[[#This Row],[C]]+Table1[[#This Row],[P]])/Table1[[#This Row],[K]])
)</f>
        <v>#N/A</v>
      </c>
    </row>
    <row r="602" spans="1:18">
      <c r="A602">
        <v>2</v>
      </c>
      <c r="B602" t="s">
        <v>10</v>
      </c>
      <c r="C602" s="1">
        <v>46148</v>
      </c>
      <c r="D602" t="s">
        <v>14</v>
      </c>
      <c r="E602">
        <v>40</v>
      </c>
      <c r="F602" t="s">
        <v>12</v>
      </c>
      <c r="G602" t="s">
        <v>13</v>
      </c>
      <c r="H602" s="1">
        <v>46169</v>
      </c>
      <c r="I602">
        <v>1.50065404475043</v>
      </c>
      <c r="J602">
        <v>0</v>
      </c>
      <c r="K602">
        <v>2905</v>
      </c>
      <c r="L602">
        <v>0</v>
      </c>
      <c r="M602">
        <v>43.879388072808503</v>
      </c>
      <c r="N602">
        <v>1.931</v>
      </c>
      <c r="O602">
        <f>(Table1[[#This Row],[P]]&lt;&gt;0)*(Table1[[#This Row],[C]]&lt;&gt;0)</f>
        <v>0</v>
      </c>
      <c r="P602">
        <f>NETWORKDAYS(Table1[[#This Row],[ts_event]],Table1[[#This Row],[option_expiry_date]])</f>
        <v>16</v>
      </c>
      <c r="Q602">
        <f>Table1[[#This Row],[Column2]]/252</f>
        <v>6.3492063492063489E-2</v>
      </c>
      <c r="R602" s="2" t="e">
        <f>IF(Table1[[#This Row],[CHECK2]]=0,NA(),
-(1/Table1[[#This Row],[T]])*LN((Table1[[#This Row],[S0]]-Table1[[#This Row],[C]]+Table1[[#This Row],[P]])/Table1[[#This Row],[K]])
)</f>
        <v>#N/A</v>
      </c>
    </row>
    <row r="603" spans="1:18">
      <c r="A603">
        <v>1</v>
      </c>
      <c r="B603" t="s">
        <v>10</v>
      </c>
      <c r="C603" s="1">
        <v>46148</v>
      </c>
      <c r="D603" t="s">
        <v>14</v>
      </c>
      <c r="E603">
        <v>41</v>
      </c>
      <c r="F603" t="s">
        <v>12</v>
      </c>
      <c r="G603" t="s">
        <v>13</v>
      </c>
      <c r="H603" s="1">
        <v>46169</v>
      </c>
      <c r="I603">
        <v>2.33</v>
      </c>
      <c r="J603">
        <v>0</v>
      </c>
      <c r="K603">
        <v>1000</v>
      </c>
      <c r="L603">
        <v>0</v>
      </c>
      <c r="M603">
        <v>43.879388072808503</v>
      </c>
      <c r="N603">
        <v>1.931</v>
      </c>
      <c r="O603">
        <f>(Table1[[#This Row],[P]]&lt;&gt;0)*(Table1[[#This Row],[C]]&lt;&gt;0)</f>
        <v>0</v>
      </c>
      <c r="P603">
        <f>NETWORKDAYS(Table1[[#This Row],[ts_event]],Table1[[#This Row],[option_expiry_date]])</f>
        <v>16</v>
      </c>
      <c r="Q603">
        <f>Table1[[#This Row],[Column2]]/252</f>
        <v>6.3492063492063489E-2</v>
      </c>
      <c r="R603" s="2" t="e">
        <f>IF(Table1[[#This Row],[CHECK2]]=0,NA(),
-(1/Table1[[#This Row],[T]])*LN((Table1[[#This Row],[S0]]-Table1[[#This Row],[C]]+Table1[[#This Row],[P]])/Table1[[#This Row],[K]])
)</f>
        <v>#N/A</v>
      </c>
    </row>
    <row r="604" spans="1:18">
      <c r="A604">
        <v>2</v>
      </c>
      <c r="B604" t="s">
        <v>10</v>
      </c>
      <c r="C604" s="1">
        <v>46148</v>
      </c>
      <c r="D604" t="s">
        <v>14</v>
      </c>
      <c r="E604">
        <v>42</v>
      </c>
      <c r="F604" t="s">
        <v>12</v>
      </c>
      <c r="G604" t="s">
        <v>13</v>
      </c>
      <c r="H604" s="1">
        <v>46169</v>
      </c>
      <c r="I604">
        <v>2.85</v>
      </c>
      <c r="J604">
        <v>4.5</v>
      </c>
      <c r="K604">
        <v>4600</v>
      </c>
      <c r="L604">
        <v>165</v>
      </c>
      <c r="M604">
        <v>43.879388072808503</v>
      </c>
      <c r="N604">
        <v>1.931</v>
      </c>
      <c r="O604">
        <f>(Table1[[#This Row],[P]]&lt;&gt;0)*(Table1[[#This Row],[C]]&lt;&gt;0)</f>
        <v>1</v>
      </c>
      <c r="P604">
        <f>NETWORKDAYS(Table1[[#This Row],[ts_event]],Table1[[#This Row],[option_expiry_date]])</f>
        <v>16</v>
      </c>
      <c r="Q604">
        <f>Table1[[#This Row],[Column2]]/252</f>
        <v>6.3492063492063489E-2</v>
      </c>
      <c r="R604" s="2">
        <f>IF(Table1[[#This Row],[CHECK2]]=0,NA(),
-(1/Table1[[#This Row],[T]])*LN((Table1[[#This Row],[S0]]-Table1[[#This Row],[C]]+Table1[[#This Row],[P]])/Table1[[#This Row],[K]])
)</f>
        <v>-8.5786473375877706E-2</v>
      </c>
    </row>
    <row r="605" spans="1:18">
      <c r="A605">
        <v>2</v>
      </c>
      <c r="B605" t="s">
        <v>10</v>
      </c>
      <c r="C605" s="1">
        <v>46148</v>
      </c>
      <c r="D605" t="s">
        <v>14</v>
      </c>
      <c r="E605">
        <v>43</v>
      </c>
      <c r="F605" t="s">
        <v>12</v>
      </c>
      <c r="G605" t="s">
        <v>13</v>
      </c>
      <c r="H605" s="1">
        <v>46169</v>
      </c>
      <c r="I605">
        <v>3.0750000000000002</v>
      </c>
      <c r="J605">
        <v>2.79</v>
      </c>
      <c r="K605">
        <v>500</v>
      </c>
      <c r="L605">
        <v>50</v>
      </c>
      <c r="M605">
        <v>43.879388072808503</v>
      </c>
      <c r="N605">
        <v>1.931</v>
      </c>
      <c r="O605">
        <f>(Table1[[#This Row],[P]]&lt;&gt;0)*(Table1[[#This Row],[C]]&lt;&gt;0)</f>
        <v>1</v>
      </c>
      <c r="P605">
        <f>NETWORKDAYS(Table1[[#This Row],[ts_event]],Table1[[#This Row],[option_expiry_date]])</f>
        <v>16</v>
      </c>
      <c r="Q605">
        <f>Table1[[#This Row],[Column2]]/252</f>
        <v>6.3492063492063489E-2</v>
      </c>
      <c r="R605" s="2">
        <f>IF(Table1[[#This Row],[CHECK2]]=0,NA(),
-(1/Table1[[#This Row],[T]])*LN((Table1[[#This Row],[S0]]-Table1[[#This Row],[C]]+Table1[[#This Row],[P]])/Table1[[#This Row],[K]])
)</f>
        <v>-0.42081872063832976</v>
      </c>
    </row>
    <row r="606" spans="1:18">
      <c r="A606">
        <v>3</v>
      </c>
      <c r="B606" t="s">
        <v>10</v>
      </c>
      <c r="C606" s="1">
        <v>46148</v>
      </c>
      <c r="D606" t="s">
        <v>14</v>
      </c>
      <c r="E606">
        <v>44</v>
      </c>
      <c r="F606" t="s">
        <v>12</v>
      </c>
      <c r="G606" t="s">
        <v>13</v>
      </c>
      <c r="H606" s="1">
        <v>46169</v>
      </c>
      <c r="I606">
        <v>3.6749999999999998</v>
      </c>
      <c r="J606">
        <v>2.93619047619047</v>
      </c>
      <c r="K606">
        <v>225</v>
      </c>
      <c r="L606">
        <v>525</v>
      </c>
      <c r="M606">
        <v>43.879388072808503</v>
      </c>
      <c r="N606">
        <v>1.931</v>
      </c>
      <c r="O606">
        <f>(Table1[[#This Row],[P]]&lt;&gt;0)*(Table1[[#This Row],[C]]&lt;&gt;0)</f>
        <v>1</v>
      </c>
      <c r="P606">
        <f>NETWORKDAYS(Table1[[#This Row],[ts_event]],Table1[[#This Row],[option_expiry_date]])</f>
        <v>16</v>
      </c>
      <c r="Q606">
        <f>Table1[[#This Row],[Column2]]/252</f>
        <v>6.3492063492063489E-2</v>
      </c>
      <c r="R606" s="2">
        <f>IF(Table1[[#This Row],[CHECK2]]=0,NA(),
-(1/Table1[[#This Row],[T]])*LN((Table1[[#This Row],[S0]]-Table1[[#This Row],[C]]+Table1[[#This Row],[P]])/Table1[[#This Row],[K]])
)</f>
        <v>-0.21974651610180621</v>
      </c>
    </row>
    <row r="607" spans="1:18">
      <c r="A607">
        <v>4</v>
      </c>
      <c r="B607" t="s">
        <v>10</v>
      </c>
      <c r="C607" s="1">
        <v>46148</v>
      </c>
      <c r="D607" t="s">
        <v>14</v>
      </c>
      <c r="E607">
        <v>45</v>
      </c>
      <c r="F607" t="s">
        <v>12</v>
      </c>
      <c r="G607" t="s">
        <v>13</v>
      </c>
      <c r="H607" s="1">
        <v>46169</v>
      </c>
      <c r="I607">
        <v>4.48648148148148</v>
      </c>
      <c r="J607">
        <v>3.2403846153846101</v>
      </c>
      <c r="K607">
        <v>1350</v>
      </c>
      <c r="L607">
        <v>5200</v>
      </c>
      <c r="M607">
        <v>43.879388072808503</v>
      </c>
      <c r="N607">
        <v>1.931</v>
      </c>
      <c r="O607">
        <f>(Table1[[#This Row],[P]]&lt;&gt;0)*(Table1[[#This Row],[C]]&lt;&gt;0)</f>
        <v>1</v>
      </c>
      <c r="P607">
        <f>NETWORKDAYS(Table1[[#This Row],[ts_event]],Table1[[#This Row],[option_expiry_date]])</f>
        <v>16</v>
      </c>
      <c r="Q607">
        <f>Table1[[#This Row],[Column2]]/252</f>
        <v>6.3492063492063489E-2</v>
      </c>
      <c r="R607" s="2">
        <f>IF(Table1[[#This Row],[CHECK2]]=0,NA(),
-(1/Table1[[#This Row],[T]])*LN((Table1[[#This Row],[S0]]-Table1[[#This Row],[C]]+Table1[[#This Row],[P]])/Table1[[#This Row],[K]])
)</f>
        <v>-4.3858605947961517E-2</v>
      </c>
    </row>
    <row r="608" spans="1:18">
      <c r="A608">
        <v>2</v>
      </c>
      <c r="B608" t="s">
        <v>10</v>
      </c>
      <c r="C608" s="1">
        <v>46148</v>
      </c>
      <c r="D608" t="s">
        <v>14</v>
      </c>
      <c r="E608">
        <v>46</v>
      </c>
      <c r="F608" t="s">
        <v>12</v>
      </c>
      <c r="G608" t="s">
        <v>13</v>
      </c>
      <c r="H608" s="1">
        <v>46169</v>
      </c>
      <c r="I608">
        <v>0</v>
      </c>
      <c r="J608">
        <v>3.6118942731277501</v>
      </c>
      <c r="K608">
        <v>0</v>
      </c>
      <c r="L608">
        <v>1135</v>
      </c>
      <c r="M608">
        <v>43.879388072808503</v>
      </c>
      <c r="N608">
        <v>1.931</v>
      </c>
      <c r="O608">
        <f>(Table1[[#This Row],[P]]&lt;&gt;0)*(Table1[[#This Row],[C]]&lt;&gt;0)</f>
        <v>0</v>
      </c>
      <c r="P608">
        <f>NETWORKDAYS(Table1[[#This Row],[ts_event]],Table1[[#This Row],[option_expiry_date]])</f>
        <v>16</v>
      </c>
      <c r="Q608">
        <f>Table1[[#This Row],[Column2]]/252</f>
        <v>6.3492063492063489E-2</v>
      </c>
      <c r="R608" s="2" t="e">
        <f>IF(Table1[[#This Row],[CHECK2]]=0,NA(),
-(1/Table1[[#This Row],[T]])*LN((Table1[[#This Row],[S0]]-Table1[[#This Row],[C]]+Table1[[#This Row],[P]])/Table1[[#This Row],[K]])
)</f>
        <v>#N/A</v>
      </c>
    </row>
    <row r="609" spans="1:18">
      <c r="A609">
        <v>3</v>
      </c>
      <c r="B609" t="s">
        <v>10</v>
      </c>
      <c r="C609" s="1">
        <v>46148</v>
      </c>
      <c r="D609" t="s">
        <v>14</v>
      </c>
      <c r="E609">
        <v>47</v>
      </c>
      <c r="F609" t="s">
        <v>12</v>
      </c>
      <c r="G609" t="s">
        <v>13</v>
      </c>
      <c r="H609" s="1">
        <v>46169</v>
      </c>
      <c r="I609">
        <v>4.7</v>
      </c>
      <c r="J609">
        <v>2.2090909090909001</v>
      </c>
      <c r="K609">
        <v>100</v>
      </c>
      <c r="L609">
        <v>330</v>
      </c>
      <c r="M609">
        <v>43.879388072808503</v>
      </c>
      <c r="N609">
        <v>1.931</v>
      </c>
      <c r="O609">
        <f>(Table1[[#This Row],[P]]&lt;&gt;0)*(Table1[[#This Row],[C]]&lt;&gt;0)</f>
        <v>1</v>
      </c>
      <c r="P609">
        <f>NETWORKDAYS(Table1[[#This Row],[ts_event]],Table1[[#This Row],[option_expiry_date]])</f>
        <v>16</v>
      </c>
      <c r="Q609">
        <f>Table1[[#This Row],[Column2]]/252</f>
        <v>6.3492063492063489E-2</v>
      </c>
      <c r="R609" s="2">
        <f>IF(Table1[[#This Row],[CHECK2]]=0,NA(),
-(1/Table1[[#This Row],[T]])*LN((Table1[[#This Row],[S0]]-Table1[[#This Row],[C]]+Table1[[#This Row],[P]])/Table1[[#This Row],[K]])
)</f>
        <v>0.21244379299462224</v>
      </c>
    </row>
    <row r="610" spans="1:18">
      <c r="A610">
        <v>1</v>
      </c>
      <c r="B610" t="s">
        <v>10</v>
      </c>
      <c r="C610" s="1">
        <v>46148</v>
      </c>
      <c r="D610" t="s">
        <v>14</v>
      </c>
      <c r="E610">
        <v>48</v>
      </c>
      <c r="F610" t="s">
        <v>12</v>
      </c>
      <c r="G610" t="s">
        <v>13</v>
      </c>
      <c r="H610" s="1">
        <v>46169</v>
      </c>
      <c r="I610">
        <v>0</v>
      </c>
      <c r="J610">
        <v>1.62</v>
      </c>
      <c r="K610">
        <v>0</v>
      </c>
      <c r="L610">
        <v>1200</v>
      </c>
      <c r="M610">
        <v>43.879388072808503</v>
      </c>
      <c r="N610">
        <v>1.931</v>
      </c>
      <c r="O610">
        <f>(Table1[[#This Row],[P]]&lt;&gt;0)*(Table1[[#This Row],[C]]&lt;&gt;0)</f>
        <v>0</v>
      </c>
      <c r="P610">
        <f>NETWORKDAYS(Table1[[#This Row],[ts_event]],Table1[[#This Row],[option_expiry_date]])</f>
        <v>16</v>
      </c>
      <c r="Q610">
        <f>Table1[[#This Row],[Column2]]/252</f>
        <v>6.3492063492063489E-2</v>
      </c>
      <c r="R610" s="2" t="e">
        <f>IF(Table1[[#This Row],[CHECK2]]=0,NA(),
-(1/Table1[[#This Row],[T]])*LN((Table1[[#This Row],[S0]]-Table1[[#This Row],[C]]+Table1[[#This Row],[P]])/Table1[[#This Row],[K]])
)</f>
        <v>#N/A</v>
      </c>
    </row>
    <row r="611" spans="1:18">
      <c r="A611">
        <v>3</v>
      </c>
      <c r="B611" t="s">
        <v>10</v>
      </c>
      <c r="C611" s="1">
        <v>46148</v>
      </c>
      <c r="D611" t="s">
        <v>14</v>
      </c>
      <c r="E611">
        <v>50</v>
      </c>
      <c r="F611" t="s">
        <v>12</v>
      </c>
      <c r="G611" t="s">
        <v>13</v>
      </c>
      <c r="H611" s="1">
        <v>46169</v>
      </c>
      <c r="I611">
        <v>8.7899999999999991</v>
      </c>
      <c r="J611">
        <v>1.9790200546946199</v>
      </c>
      <c r="K611">
        <v>1250</v>
      </c>
      <c r="L611">
        <v>5485</v>
      </c>
      <c r="M611">
        <v>43.879388072808503</v>
      </c>
      <c r="N611">
        <v>1.931</v>
      </c>
      <c r="O611">
        <f>(Table1[[#This Row],[P]]&lt;&gt;0)*(Table1[[#This Row],[C]]&lt;&gt;0)</f>
        <v>1</v>
      </c>
      <c r="P611">
        <f>NETWORKDAYS(Table1[[#This Row],[ts_event]],Table1[[#This Row],[option_expiry_date]])</f>
        <v>16</v>
      </c>
      <c r="Q611">
        <f>Table1[[#This Row],[Column2]]/252</f>
        <v>6.3492063492063489E-2</v>
      </c>
      <c r="R611" s="2">
        <f>IF(Table1[[#This Row],[CHECK2]]=0,NA(),
-(1/Table1[[#This Row],[T]])*LN((Table1[[#This Row],[S0]]-Table1[[#This Row],[C]]+Table1[[#This Row],[P]])/Table1[[#This Row],[K]])
)</f>
        <v>-0.21597828842618305</v>
      </c>
    </row>
    <row r="612" spans="1:18">
      <c r="A612">
        <v>2</v>
      </c>
      <c r="B612" t="s">
        <v>10</v>
      </c>
      <c r="C612" s="1">
        <v>46148</v>
      </c>
      <c r="D612" t="s">
        <v>14</v>
      </c>
      <c r="E612">
        <v>55</v>
      </c>
      <c r="F612" t="s">
        <v>12</v>
      </c>
      <c r="G612" t="s">
        <v>13</v>
      </c>
      <c r="H612" s="1">
        <v>46169</v>
      </c>
      <c r="I612">
        <v>0</v>
      </c>
      <c r="J612">
        <v>1.2081920903954799</v>
      </c>
      <c r="K612">
        <v>0</v>
      </c>
      <c r="L612">
        <v>1770</v>
      </c>
      <c r="M612">
        <v>43.879388072808503</v>
      </c>
      <c r="N612">
        <v>1.931</v>
      </c>
      <c r="O612">
        <f>(Table1[[#This Row],[P]]&lt;&gt;0)*(Table1[[#This Row],[C]]&lt;&gt;0)</f>
        <v>0</v>
      </c>
      <c r="P612">
        <f>NETWORKDAYS(Table1[[#This Row],[ts_event]],Table1[[#This Row],[option_expiry_date]])</f>
        <v>16</v>
      </c>
      <c r="Q612">
        <f>Table1[[#This Row],[Column2]]/252</f>
        <v>6.3492063492063489E-2</v>
      </c>
      <c r="R612" s="2" t="e">
        <f>IF(Table1[[#This Row],[CHECK2]]=0,NA(),
-(1/Table1[[#This Row],[T]])*LN((Table1[[#This Row],[S0]]-Table1[[#This Row],[C]]+Table1[[#This Row],[P]])/Table1[[#This Row],[K]])
)</f>
        <v>#N/A</v>
      </c>
    </row>
    <row r="613" spans="1:18">
      <c r="A613">
        <v>2</v>
      </c>
      <c r="B613" t="s">
        <v>10</v>
      </c>
      <c r="C613" s="1">
        <v>46148</v>
      </c>
      <c r="D613" t="s">
        <v>14</v>
      </c>
      <c r="E613">
        <v>60</v>
      </c>
      <c r="F613" t="s">
        <v>12</v>
      </c>
      <c r="G613" t="s">
        <v>13</v>
      </c>
      <c r="H613" s="1">
        <v>46169</v>
      </c>
      <c r="I613">
        <v>0</v>
      </c>
      <c r="J613">
        <v>0.80915789473684196</v>
      </c>
      <c r="K613">
        <v>0</v>
      </c>
      <c r="L613">
        <v>475</v>
      </c>
      <c r="M613">
        <v>43.879388072808503</v>
      </c>
      <c r="N613">
        <v>1.931</v>
      </c>
      <c r="O613">
        <f>(Table1[[#This Row],[P]]&lt;&gt;0)*(Table1[[#This Row],[C]]&lt;&gt;0)</f>
        <v>0</v>
      </c>
      <c r="P613">
        <f>NETWORKDAYS(Table1[[#This Row],[ts_event]],Table1[[#This Row],[option_expiry_date]])</f>
        <v>16</v>
      </c>
      <c r="Q613">
        <f>Table1[[#This Row],[Column2]]/252</f>
        <v>6.3492063492063489E-2</v>
      </c>
      <c r="R613" s="2" t="e">
        <f>IF(Table1[[#This Row],[CHECK2]]=0,NA(),
-(1/Table1[[#This Row],[T]])*LN((Table1[[#This Row],[S0]]-Table1[[#This Row],[C]]+Table1[[#This Row],[P]])/Table1[[#This Row],[K]])
)</f>
        <v>#N/A</v>
      </c>
    </row>
    <row r="614" spans="1:18">
      <c r="A614">
        <v>2</v>
      </c>
      <c r="B614" t="s">
        <v>10</v>
      </c>
      <c r="C614" s="1">
        <v>46148</v>
      </c>
      <c r="D614" t="s">
        <v>14</v>
      </c>
      <c r="E614">
        <v>65</v>
      </c>
      <c r="F614" t="s">
        <v>12</v>
      </c>
      <c r="G614" t="s">
        <v>13</v>
      </c>
      <c r="H614" s="1">
        <v>46169</v>
      </c>
      <c r="I614">
        <v>0</v>
      </c>
      <c r="J614">
        <v>0.44109589041095798</v>
      </c>
      <c r="K614">
        <v>0</v>
      </c>
      <c r="L614">
        <v>365</v>
      </c>
      <c r="M614">
        <v>43.879388072808503</v>
      </c>
      <c r="N614">
        <v>1.931</v>
      </c>
      <c r="O614">
        <f>(Table1[[#This Row],[P]]&lt;&gt;0)*(Table1[[#This Row],[C]]&lt;&gt;0)</f>
        <v>0</v>
      </c>
      <c r="P614">
        <f>NETWORKDAYS(Table1[[#This Row],[ts_event]],Table1[[#This Row],[option_expiry_date]])</f>
        <v>16</v>
      </c>
      <c r="Q614">
        <f>Table1[[#This Row],[Column2]]/252</f>
        <v>6.3492063492063489E-2</v>
      </c>
      <c r="R614" s="2" t="e">
        <f>IF(Table1[[#This Row],[CHECK2]]=0,NA(),
-(1/Table1[[#This Row],[T]])*LN((Table1[[#This Row],[S0]]-Table1[[#This Row],[C]]+Table1[[#This Row],[P]])/Table1[[#This Row],[K]])
)</f>
        <v>#N/A</v>
      </c>
    </row>
    <row r="615" spans="1:18">
      <c r="A615">
        <v>1</v>
      </c>
      <c r="B615" t="s">
        <v>10</v>
      </c>
      <c r="C615" s="1">
        <v>46148</v>
      </c>
      <c r="D615" t="s">
        <v>14</v>
      </c>
      <c r="E615">
        <v>70</v>
      </c>
      <c r="F615" t="s">
        <v>12</v>
      </c>
      <c r="G615" t="s">
        <v>13</v>
      </c>
      <c r="H615" s="1">
        <v>46169</v>
      </c>
      <c r="I615">
        <v>0</v>
      </c>
      <c r="J615">
        <v>0.51</v>
      </c>
      <c r="K615">
        <v>0</v>
      </c>
      <c r="L615">
        <v>75</v>
      </c>
      <c r="M615">
        <v>43.879388072808503</v>
      </c>
      <c r="N615">
        <v>1.931</v>
      </c>
      <c r="O615">
        <f>(Table1[[#This Row],[P]]&lt;&gt;0)*(Table1[[#This Row],[C]]&lt;&gt;0)</f>
        <v>0</v>
      </c>
      <c r="P615">
        <f>NETWORKDAYS(Table1[[#This Row],[ts_event]],Table1[[#This Row],[option_expiry_date]])</f>
        <v>16</v>
      </c>
      <c r="Q615">
        <f>Table1[[#This Row],[Column2]]/252</f>
        <v>6.3492063492063489E-2</v>
      </c>
      <c r="R615" s="2" t="e">
        <f>IF(Table1[[#This Row],[CHECK2]]=0,NA(),
-(1/Table1[[#This Row],[T]])*LN((Table1[[#This Row],[S0]]-Table1[[#This Row],[C]]+Table1[[#This Row],[P]])/Table1[[#This Row],[K]])
)</f>
        <v>#N/A</v>
      </c>
    </row>
    <row r="616" spans="1:18">
      <c r="A616">
        <v>1</v>
      </c>
      <c r="B616" t="s">
        <v>10</v>
      </c>
      <c r="C616" s="1">
        <v>46148</v>
      </c>
      <c r="D616" t="s">
        <v>14</v>
      </c>
      <c r="E616">
        <v>80</v>
      </c>
      <c r="F616" t="s">
        <v>12</v>
      </c>
      <c r="G616" t="s">
        <v>13</v>
      </c>
      <c r="H616" s="1">
        <v>46169</v>
      </c>
      <c r="I616">
        <v>0</v>
      </c>
      <c r="J616">
        <v>0.2</v>
      </c>
      <c r="K616">
        <v>0</v>
      </c>
      <c r="L616">
        <v>300</v>
      </c>
      <c r="M616">
        <v>43.879388072808503</v>
      </c>
      <c r="N616">
        <v>1.931</v>
      </c>
      <c r="O616">
        <f>(Table1[[#This Row],[P]]&lt;&gt;0)*(Table1[[#This Row],[C]]&lt;&gt;0)</f>
        <v>0</v>
      </c>
      <c r="P616">
        <f>NETWORKDAYS(Table1[[#This Row],[ts_event]],Table1[[#This Row],[option_expiry_date]])</f>
        <v>16</v>
      </c>
      <c r="Q616">
        <f>Table1[[#This Row],[Column2]]/252</f>
        <v>6.3492063492063489E-2</v>
      </c>
      <c r="R616" s="2" t="e">
        <f>IF(Table1[[#This Row],[CHECK2]]=0,NA(),
-(1/Table1[[#This Row],[T]])*LN((Table1[[#This Row],[S0]]-Table1[[#This Row],[C]]+Table1[[#This Row],[P]])/Table1[[#This Row],[K]])
)</f>
        <v>#N/A</v>
      </c>
    </row>
    <row r="617" spans="1:18">
      <c r="A617">
        <v>1</v>
      </c>
      <c r="B617" t="s">
        <v>10</v>
      </c>
      <c r="C617" s="1">
        <v>46148</v>
      </c>
      <c r="D617" t="s">
        <v>15</v>
      </c>
      <c r="E617">
        <v>28</v>
      </c>
      <c r="F617" t="s">
        <v>12</v>
      </c>
      <c r="G617" t="s">
        <v>13</v>
      </c>
      <c r="H617" s="1">
        <v>46199</v>
      </c>
      <c r="I617">
        <v>0.16</v>
      </c>
      <c r="J617">
        <v>0</v>
      </c>
      <c r="K617">
        <v>2350</v>
      </c>
      <c r="L617">
        <v>0</v>
      </c>
      <c r="M617">
        <v>43.8612058791782</v>
      </c>
      <c r="N617">
        <v>1.931</v>
      </c>
      <c r="O617">
        <f>(Table1[[#This Row],[P]]&lt;&gt;0)*(Table1[[#This Row],[C]]&lt;&gt;0)</f>
        <v>0</v>
      </c>
      <c r="P617">
        <f>NETWORKDAYS(Table1[[#This Row],[ts_event]],Table1[[#This Row],[option_expiry_date]])</f>
        <v>38</v>
      </c>
      <c r="Q617">
        <f>Table1[[#This Row],[Column2]]/252</f>
        <v>0.15079365079365079</v>
      </c>
      <c r="R617" s="2" t="e">
        <f>IF(Table1[[#This Row],[CHECK2]]=0,NA(),
-(1/Table1[[#This Row],[T]])*LN((Table1[[#This Row],[S0]]-Table1[[#This Row],[C]]+Table1[[#This Row],[P]])/Table1[[#This Row],[K]])
)</f>
        <v>#N/A</v>
      </c>
    </row>
    <row r="618" spans="1:18">
      <c r="A618">
        <v>1</v>
      </c>
      <c r="B618" t="s">
        <v>10</v>
      </c>
      <c r="C618" s="1">
        <v>46148</v>
      </c>
      <c r="D618" t="s">
        <v>15</v>
      </c>
      <c r="E618">
        <v>30</v>
      </c>
      <c r="F618" t="s">
        <v>12</v>
      </c>
      <c r="G618" t="s">
        <v>13</v>
      </c>
      <c r="H618" s="1">
        <v>46199</v>
      </c>
      <c r="I618">
        <v>0.22500000000000001</v>
      </c>
      <c r="J618">
        <v>0</v>
      </c>
      <c r="K618">
        <v>50</v>
      </c>
      <c r="L618">
        <v>0</v>
      </c>
      <c r="M618">
        <v>43.8612058791782</v>
      </c>
      <c r="N618">
        <v>1.931</v>
      </c>
      <c r="O618">
        <f>(Table1[[#This Row],[P]]&lt;&gt;0)*(Table1[[#This Row],[C]]&lt;&gt;0)</f>
        <v>0</v>
      </c>
      <c r="P618">
        <f>NETWORKDAYS(Table1[[#This Row],[ts_event]],Table1[[#This Row],[option_expiry_date]])</f>
        <v>38</v>
      </c>
      <c r="Q618">
        <f>Table1[[#This Row],[Column2]]/252</f>
        <v>0.15079365079365079</v>
      </c>
      <c r="R618" s="2" t="e">
        <f>IF(Table1[[#This Row],[CHECK2]]=0,NA(),
-(1/Table1[[#This Row],[T]])*LN((Table1[[#This Row],[S0]]-Table1[[#This Row],[C]]+Table1[[#This Row],[P]])/Table1[[#This Row],[K]])
)</f>
        <v>#N/A</v>
      </c>
    </row>
    <row r="619" spans="1:18">
      <c r="A619">
        <v>1</v>
      </c>
      <c r="B619" t="s">
        <v>10</v>
      </c>
      <c r="C619" s="1">
        <v>46148</v>
      </c>
      <c r="D619" t="s">
        <v>15</v>
      </c>
      <c r="E619">
        <v>33</v>
      </c>
      <c r="F619" t="s">
        <v>12</v>
      </c>
      <c r="G619" t="s">
        <v>13</v>
      </c>
      <c r="H619" s="1">
        <v>46199</v>
      </c>
      <c r="I619">
        <v>0.85</v>
      </c>
      <c r="J619">
        <v>0</v>
      </c>
      <c r="K619">
        <v>1705</v>
      </c>
      <c r="L619">
        <v>0</v>
      </c>
      <c r="M619">
        <v>43.8612058791782</v>
      </c>
      <c r="N619">
        <v>1.931</v>
      </c>
      <c r="O619">
        <f>(Table1[[#This Row],[P]]&lt;&gt;0)*(Table1[[#This Row],[C]]&lt;&gt;0)</f>
        <v>0</v>
      </c>
      <c r="P619">
        <f>NETWORKDAYS(Table1[[#This Row],[ts_event]],Table1[[#This Row],[option_expiry_date]])</f>
        <v>38</v>
      </c>
      <c r="Q619">
        <f>Table1[[#This Row],[Column2]]/252</f>
        <v>0.15079365079365079</v>
      </c>
      <c r="R619" s="2" t="e">
        <f>IF(Table1[[#This Row],[CHECK2]]=0,NA(),
-(1/Table1[[#This Row],[T]])*LN((Table1[[#This Row],[S0]]-Table1[[#This Row],[C]]+Table1[[#This Row],[P]])/Table1[[#This Row],[K]])
)</f>
        <v>#N/A</v>
      </c>
    </row>
    <row r="620" spans="1:18">
      <c r="A620">
        <v>1</v>
      </c>
      <c r="B620" t="s">
        <v>10</v>
      </c>
      <c r="C620" s="1">
        <v>46148</v>
      </c>
      <c r="D620" t="s">
        <v>15</v>
      </c>
      <c r="E620">
        <v>34</v>
      </c>
      <c r="F620" t="s">
        <v>12</v>
      </c>
      <c r="G620" t="s">
        <v>13</v>
      </c>
      <c r="H620" s="1">
        <v>46199</v>
      </c>
      <c r="I620">
        <v>0.67500000000000004</v>
      </c>
      <c r="J620">
        <v>0</v>
      </c>
      <c r="K620">
        <v>100</v>
      </c>
      <c r="L620">
        <v>0</v>
      </c>
      <c r="M620">
        <v>43.8612058791782</v>
      </c>
      <c r="N620">
        <v>1.931</v>
      </c>
      <c r="O620">
        <f>(Table1[[#This Row],[P]]&lt;&gt;0)*(Table1[[#This Row],[C]]&lt;&gt;0)</f>
        <v>0</v>
      </c>
      <c r="P620">
        <f>NETWORKDAYS(Table1[[#This Row],[ts_event]],Table1[[#This Row],[option_expiry_date]])</f>
        <v>38</v>
      </c>
      <c r="Q620">
        <f>Table1[[#This Row],[Column2]]/252</f>
        <v>0.15079365079365079</v>
      </c>
      <c r="R620" s="2" t="e">
        <f>IF(Table1[[#This Row],[CHECK2]]=0,NA(),
-(1/Table1[[#This Row],[T]])*LN((Table1[[#This Row],[S0]]-Table1[[#This Row],[C]]+Table1[[#This Row],[P]])/Table1[[#This Row],[K]])
)</f>
        <v>#N/A</v>
      </c>
    </row>
    <row r="621" spans="1:18">
      <c r="A621">
        <v>2</v>
      </c>
      <c r="B621" t="s">
        <v>10</v>
      </c>
      <c r="C621" s="1">
        <v>46148</v>
      </c>
      <c r="D621" t="s">
        <v>15</v>
      </c>
      <c r="E621">
        <v>35</v>
      </c>
      <c r="F621" t="s">
        <v>12</v>
      </c>
      <c r="G621" t="s">
        <v>13</v>
      </c>
      <c r="H621" s="1">
        <v>46199</v>
      </c>
      <c r="I621">
        <v>1.075</v>
      </c>
      <c r="J621">
        <v>0</v>
      </c>
      <c r="K621">
        <v>700</v>
      </c>
      <c r="L621">
        <v>0</v>
      </c>
      <c r="M621">
        <v>43.8612058791782</v>
      </c>
      <c r="N621">
        <v>1.931</v>
      </c>
      <c r="O621">
        <f>(Table1[[#This Row],[P]]&lt;&gt;0)*(Table1[[#This Row],[C]]&lt;&gt;0)</f>
        <v>0</v>
      </c>
      <c r="P621">
        <f>NETWORKDAYS(Table1[[#This Row],[ts_event]],Table1[[#This Row],[option_expiry_date]])</f>
        <v>38</v>
      </c>
      <c r="Q621">
        <f>Table1[[#This Row],[Column2]]/252</f>
        <v>0.15079365079365079</v>
      </c>
      <c r="R621" s="2" t="e">
        <f>IF(Table1[[#This Row],[CHECK2]]=0,NA(),
-(1/Table1[[#This Row],[T]])*LN((Table1[[#This Row],[S0]]-Table1[[#This Row],[C]]+Table1[[#This Row],[P]])/Table1[[#This Row],[K]])
)</f>
        <v>#N/A</v>
      </c>
    </row>
    <row r="622" spans="1:18">
      <c r="A622">
        <v>1</v>
      </c>
      <c r="B622" t="s">
        <v>10</v>
      </c>
      <c r="C622" s="1">
        <v>46148</v>
      </c>
      <c r="D622" t="s">
        <v>15</v>
      </c>
      <c r="E622">
        <v>37</v>
      </c>
      <c r="F622" t="s">
        <v>12</v>
      </c>
      <c r="G622" t="s">
        <v>13</v>
      </c>
      <c r="H622" s="1">
        <v>46199</v>
      </c>
      <c r="I622">
        <v>1.625</v>
      </c>
      <c r="J622">
        <v>0</v>
      </c>
      <c r="K622">
        <v>200</v>
      </c>
      <c r="L622">
        <v>0</v>
      </c>
      <c r="M622">
        <v>43.8612058791782</v>
      </c>
      <c r="N622">
        <v>1.931</v>
      </c>
      <c r="O622">
        <f>(Table1[[#This Row],[P]]&lt;&gt;0)*(Table1[[#This Row],[C]]&lt;&gt;0)</f>
        <v>0</v>
      </c>
      <c r="P622">
        <f>NETWORKDAYS(Table1[[#This Row],[ts_event]],Table1[[#This Row],[option_expiry_date]])</f>
        <v>38</v>
      </c>
      <c r="Q622">
        <f>Table1[[#This Row],[Column2]]/252</f>
        <v>0.15079365079365079</v>
      </c>
      <c r="R622" s="2" t="e">
        <f>IF(Table1[[#This Row],[CHECK2]]=0,NA(),
-(1/Table1[[#This Row],[T]])*LN((Table1[[#This Row],[S0]]-Table1[[#This Row],[C]]+Table1[[#This Row],[P]])/Table1[[#This Row],[K]])
)</f>
        <v>#N/A</v>
      </c>
    </row>
    <row r="623" spans="1:18">
      <c r="A623">
        <v>2</v>
      </c>
      <c r="B623" t="s">
        <v>10</v>
      </c>
      <c r="C623" s="1">
        <v>46148</v>
      </c>
      <c r="D623" t="s">
        <v>15</v>
      </c>
      <c r="E623">
        <v>38</v>
      </c>
      <c r="F623" t="s">
        <v>12</v>
      </c>
      <c r="G623" t="s">
        <v>13</v>
      </c>
      <c r="H623" s="1">
        <v>46199</v>
      </c>
      <c r="I623">
        <v>1.89878048780487</v>
      </c>
      <c r="J623">
        <v>0</v>
      </c>
      <c r="K623">
        <v>205</v>
      </c>
      <c r="L623">
        <v>0</v>
      </c>
      <c r="M623">
        <v>43.8612058791782</v>
      </c>
      <c r="N623">
        <v>1.931</v>
      </c>
      <c r="O623">
        <f>(Table1[[#This Row],[P]]&lt;&gt;0)*(Table1[[#This Row],[C]]&lt;&gt;0)</f>
        <v>0</v>
      </c>
      <c r="P623">
        <f>NETWORKDAYS(Table1[[#This Row],[ts_event]],Table1[[#This Row],[option_expiry_date]])</f>
        <v>38</v>
      </c>
      <c r="Q623">
        <f>Table1[[#This Row],[Column2]]/252</f>
        <v>0.15079365079365079</v>
      </c>
      <c r="R623" s="2" t="e">
        <f>IF(Table1[[#This Row],[CHECK2]]=0,NA(),
-(1/Table1[[#This Row],[T]])*LN((Table1[[#This Row],[S0]]-Table1[[#This Row],[C]]+Table1[[#This Row],[P]])/Table1[[#This Row],[K]])
)</f>
        <v>#N/A</v>
      </c>
    </row>
    <row r="624" spans="1:18">
      <c r="A624">
        <v>1</v>
      </c>
      <c r="B624" t="s">
        <v>10</v>
      </c>
      <c r="C624" s="1">
        <v>46148</v>
      </c>
      <c r="D624" t="s">
        <v>15</v>
      </c>
      <c r="E624">
        <v>40</v>
      </c>
      <c r="F624" t="s">
        <v>12</v>
      </c>
      <c r="G624" t="s">
        <v>13</v>
      </c>
      <c r="H624" s="1">
        <v>46199</v>
      </c>
      <c r="I624">
        <v>2.875</v>
      </c>
      <c r="J624">
        <v>0</v>
      </c>
      <c r="K624">
        <v>690</v>
      </c>
      <c r="L624">
        <v>0</v>
      </c>
      <c r="M624">
        <v>43.8612058791782</v>
      </c>
      <c r="N624">
        <v>1.931</v>
      </c>
      <c r="O624">
        <f>(Table1[[#This Row],[P]]&lt;&gt;0)*(Table1[[#This Row],[C]]&lt;&gt;0)</f>
        <v>0</v>
      </c>
      <c r="P624">
        <f>NETWORKDAYS(Table1[[#This Row],[ts_event]],Table1[[#This Row],[option_expiry_date]])</f>
        <v>38</v>
      </c>
      <c r="Q624">
        <f>Table1[[#This Row],[Column2]]/252</f>
        <v>0.15079365079365079</v>
      </c>
      <c r="R624" s="2" t="e">
        <f>IF(Table1[[#This Row],[CHECK2]]=0,NA(),
-(1/Table1[[#This Row],[T]])*LN((Table1[[#This Row],[S0]]-Table1[[#This Row],[C]]+Table1[[#This Row],[P]])/Table1[[#This Row],[K]])
)</f>
        <v>#N/A</v>
      </c>
    </row>
    <row r="625" spans="1:18">
      <c r="A625">
        <v>1</v>
      </c>
      <c r="B625" t="s">
        <v>10</v>
      </c>
      <c r="C625" s="1">
        <v>46148</v>
      </c>
      <c r="D625" t="s">
        <v>15</v>
      </c>
      <c r="E625">
        <v>42</v>
      </c>
      <c r="F625" t="s">
        <v>12</v>
      </c>
      <c r="G625" t="s">
        <v>13</v>
      </c>
      <c r="H625" s="1">
        <v>46199</v>
      </c>
      <c r="I625">
        <v>4.2300000000000004</v>
      </c>
      <c r="J625">
        <v>0</v>
      </c>
      <c r="K625">
        <v>75</v>
      </c>
      <c r="L625">
        <v>0</v>
      </c>
      <c r="M625">
        <v>43.8612058791782</v>
      </c>
      <c r="N625">
        <v>1.931</v>
      </c>
      <c r="O625">
        <f>(Table1[[#This Row],[P]]&lt;&gt;0)*(Table1[[#This Row],[C]]&lt;&gt;0)</f>
        <v>0</v>
      </c>
      <c r="P625">
        <f>NETWORKDAYS(Table1[[#This Row],[ts_event]],Table1[[#This Row],[option_expiry_date]])</f>
        <v>38</v>
      </c>
      <c r="Q625">
        <f>Table1[[#This Row],[Column2]]/252</f>
        <v>0.15079365079365079</v>
      </c>
      <c r="R625" s="2" t="e">
        <f>IF(Table1[[#This Row],[CHECK2]]=0,NA(),
-(1/Table1[[#This Row],[T]])*LN((Table1[[#This Row],[S0]]-Table1[[#This Row],[C]]+Table1[[#This Row],[P]])/Table1[[#This Row],[K]])
)</f>
        <v>#N/A</v>
      </c>
    </row>
    <row r="626" spans="1:18">
      <c r="A626">
        <v>1</v>
      </c>
      <c r="B626" t="s">
        <v>10</v>
      </c>
      <c r="C626" s="1">
        <v>46148</v>
      </c>
      <c r="D626" t="s">
        <v>15</v>
      </c>
      <c r="E626">
        <v>44</v>
      </c>
      <c r="F626" t="s">
        <v>12</v>
      </c>
      <c r="G626" t="s">
        <v>13</v>
      </c>
      <c r="H626" s="1">
        <v>46199</v>
      </c>
      <c r="I626">
        <v>5.2750000000000004</v>
      </c>
      <c r="J626">
        <v>0</v>
      </c>
      <c r="K626">
        <v>100</v>
      </c>
      <c r="L626">
        <v>0</v>
      </c>
      <c r="M626">
        <v>43.8612058791782</v>
      </c>
      <c r="N626">
        <v>1.931</v>
      </c>
      <c r="O626">
        <f>(Table1[[#This Row],[P]]&lt;&gt;0)*(Table1[[#This Row],[C]]&lt;&gt;0)</f>
        <v>0</v>
      </c>
      <c r="P626">
        <f>NETWORKDAYS(Table1[[#This Row],[ts_event]],Table1[[#This Row],[option_expiry_date]])</f>
        <v>38</v>
      </c>
      <c r="Q626">
        <f>Table1[[#This Row],[Column2]]/252</f>
        <v>0.15079365079365079</v>
      </c>
      <c r="R626" s="2" t="e">
        <f>IF(Table1[[#This Row],[CHECK2]]=0,NA(),
-(1/Table1[[#This Row],[T]])*LN((Table1[[#This Row],[S0]]-Table1[[#This Row],[C]]+Table1[[#This Row],[P]])/Table1[[#This Row],[K]])
)</f>
        <v>#N/A</v>
      </c>
    </row>
    <row r="627" spans="1:18">
      <c r="A627">
        <v>2</v>
      </c>
      <c r="B627" t="s">
        <v>10</v>
      </c>
      <c r="C627" s="1">
        <v>46148</v>
      </c>
      <c r="D627" t="s">
        <v>15</v>
      </c>
      <c r="E627">
        <v>45</v>
      </c>
      <c r="F627" t="s">
        <v>12</v>
      </c>
      <c r="G627" t="s">
        <v>13</v>
      </c>
      <c r="H627" s="1">
        <v>46199</v>
      </c>
      <c r="I627">
        <v>7.1349999999999998</v>
      </c>
      <c r="J627">
        <v>4.8899999999999997</v>
      </c>
      <c r="K627">
        <v>300</v>
      </c>
      <c r="L627">
        <v>1300</v>
      </c>
      <c r="M627">
        <v>43.8612058791782</v>
      </c>
      <c r="N627">
        <v>1.931</v>
      </c>
      <c r="O627">
        <f>(Table1[[#This Row],[P]]&lt;&gt;0)*(Table1[[#This Row],[C]]&lt;&gt;0)</f>
        <v>1</v>
      </c>
      <c r="P627">
        <f>NETWORKDAYS(Table1[[#This Row],[ts_event]],Table1[[#This Row],[option_expiry_date]])</f>
        <v>38</v>
      </c>
      <c r="Q627">
        <f>Table1[[#This Row],[Column2]]/252</f>
        <v>0.15079365079365079</v>
      </c>
      <c r="R627" s="2">
        <f>IF(Table1[[#This Row],[CHECK2]]=0,NA(),
-(1/Table1[[#This Row],[T]])*LN((Table1[[#This Row],[S0]]-Table1[[#This Row],[C]]+Table1[[#This Row],[P]])/Table1[[#This Row],[K]])
)</f>
        <v>-0.16104835192927688</v>
      </c>
    </row>
    <row r="628" spans="1:18">
      <c r="A628">
        <v>1</v>
      </c>
      <c r="B628" t="s">
        <v>10</v>
      </c>
      <c r="C628" s="1">
        <v>46148</v>
      </c>
      <c r="D628" t="s">
        <v>15</v>
      </c>
      <c r="E628">
        <v>50</v>
      </c>
      <c r="F628" t="s">
        <v>12</v>
      </c>
      <c r="G628" t="s">
        <v>13</v>
      </c>
      <c r="H628" s="1">
        <v>46199</v>
      </c>
      <c r="I628">
        <v>11</v>
      </c>
      <c r="J628">
        <v>0</v>
      </c>
      <c r="K628">
        <v>280</v>
      </c>
      <c r="L628">
        <v>0</v>
      </c>
      <c r="M628">
        <v>43.8612058791782</v>
      </c>
      <c r="N628">
        <v>1.931</v>
      </c>
      <c r="O628">
        <f>(Table1[[#This Row],[P]]&lt;&gt;0)*(Table1[[#This Row],[C]]&lt;&gt;0)</f>
        <v>0</v>
      </c>
      <c r="P628">
        <f>NETWORKDAYS(Table1[[#This Row],[ts_event]],Table1[[#This Row],[option_expiry_date]])</f>
        <v>38</v>
      </c>
      <c r="Q628">
        <f>Table1[[#This Row],[Column2]]/252</f>
        <v>0.15079365079365079</v>
      </c>
      <c r="R628" s="2" t="e">
        <f>IF(Table1[[#This Row],[CHECK2]]=0,NA(),
-(1/Table1[[#This Row],[T]])*LN((Table1[[#This Row],[S0]]-Table1[[#This Row],[C]]+Table1[[#This Row],[P]])/Table1[[#This Row],[K]])
)</f>
        <v>#N/A</v>
      </c>
    </row>
    <row r="629" spans="1:18">
      <c r="A629">
        <v>1</v>
      </c>
      <c r="B629" t="s">
        <v>10</v>
      </c>
      <c r="C629" s="1">
        <v>46148</v>
      </c>
      <c r="D629" t="s">
        <v>15</v>
      </c>
      <c r="E629">
        <v>55</v>
      </c>
      <c r="F629" t="s">
        <v>12</v>
      </c>
      <c r="G629" t="s">
        <v>13</v>
      </c>
      <c r="H629" s="1">
        <v>46199</v>
      </c>
      <c r="I629">
        <v>0</v>
      </c>
      <c r="J629">
        <v>2.7</v>
      </c>
      <c r="K629">
        <v>0</v>
      </c>
      <c r="L629">
        <v>335</v>
      </c>
      <c r="M629">
        <v>43.8612058791782</v>
      </c>
      <c r="N629">
        <v>1.931</v>
      </c>
      <c r="O629">
        <f>(Table1[[#This Row],[P]]&lt;&gt;0)*(Table1[[#This Row],[C]]&lt;&gt;0)</f>
        <v>0</v>
      </c>
      <c r="P629">
        <f>NETWORKDAYS(Table1[[#This Row],[ts_event]],Table1[[#This Row],[option_expiry_date]])</f>
        <v>38</v>
      </c>
      <c r="Q629">
        <f>Table1[[#This Row],[Column2]]/252</f>
        <v>0.15079365079365079</v>
      </c>
      <c r="R629" s="2" t="e">
        <f>IF(Table1[[#This Row],[CHECK2]]=0,NA(),
-(1/Table1[[#This Row],[T]])*LN((Table1[[#This Row],[S0]]-Table1[[#This Row],[C]]+Table1[[#This Row],[P]])/Table1[[#This Row],[K]])
)</f>
        <v>#N/A</v>
      </c>
    </row>
    <row r="630" spans="1:18">
      <c r="A630">
        <v>2</v>
      </c>
      <c r="B630" t="s">
        <v>10</v>
      </c>
      <c r="C630" s="1">
        <v>46148</v>
      </c>
      <c r="D630" t="s">
        <v>15</v>
      </c>
      <c r="E630">
        <v>60</v>
      </c>
      <c r="F630" t="s">
        <v>12</v>
      </c>
      <c r="G630" t="s">
        <v>13</v>
      </c>
      <c r="H630" s="1">
        <v>46199</v>
      </c>
      <c r="I630">
        <v>0</v>
      </c>
      <c r="J630">
        <v>2.0413043478260802</v>
      </c>
      <c r="K630">
        <v>0</v>
      </c>
      <c r="L630">
        <v>690</v>
      </c>
      <c r="M630">
        <v>43.8612058791782</v>
      </c>
      <c r="N630">
        <v>1.931</v>
      </c>
      <c r="O630">
        <f>(Table1[[#This Row],[P]]&lt;&gt;0)*(Table1[[#This Row],[C]]&lt;&gt;0)</f>
        <v>0</v>
      </c>
      <c r="P630">
        <f>NETWORKDAYS(Table1[[#This Row],[ts_event]],Table1[[#This Row],[option_expiry_date]])</f>
        <v>38</v>
      </c>
      <c r="Q630">
        <f>Table1[[#This Row],[Column2]]/252</f>
        <v>0.15079365079365079</v>
      </c>
      <c r="R630" s="2" t="e">
        <f>IF(Table1[[#This Row],[CHECK2]]=0,NA(),
-(1/Table1[[#This Row],[T]])*LN((Table1[[#This Row],[S0]]-Table1[[#This Row],[C]]+Table1[[#This Row],[P]])/Table1[[#This Row],[K]])
)</f>
        <v>#N/A</v>
      </c>
    </row>
    <row r="631" spans="1:18">
      <c r="A631">
        <v>1</v>
      </c>
      <c r="B631" t="s">
        <v>10</v>
      </c>
      <c r="C631" s="1">
        <v>46148</v>
      </c>
      <c r="D631" t="s">
        <v>15</v>
      </c>
      <c r="E631">
        <v>65</v>
      </c>
      <c r="F631" t="s">
        <v>12</v>
      </c>
      <c r="G631" t="s">
        <v>13</v>
      </c>
      <c r="H631" s="1">
        <v>46199</v>
      </c>
      <c r="I631">
        <v>0</v>
      </c>
      <c r="J631">
        <v>1.3</v>
      </c>
      <c r="K631">
        <v>0</v>
      </c>
      <c r="L631">
        <v>130</v>
      </c>
      <c r="M631">
        <v>43.8612058791782</v>
      </c>
      <c r="N631">
        <v>1.931</v>
      </c>
      <c r="O631">
        <f>(Table1[[#This Row],[P]]&lt;&gt;0)*(Table1[[#This Row],[C]]&lt;&gt;0)</f>
        <v>0</v>
      </c>
      <c r="P631">
        <f>NETWORKDAYS(Table1[[#This Row],[ts_event]],Table1[[#This Row],[option_expiry_date]])</f>
        <v>38</v>
      </c>
      <c r="Q631">
        <f>Table1[[#This Row],[Column2]]/252</f>
        <v>0.15079365079365079</v>
      </c>
      <c r="R631" s="2" t="e">
        <f>IF(Table1[[#This Row],[CHECK2]]=0,NA(),
-(1/Table1[[#This Row],[T]])*LN((Table1[[#This Row],[S0]]-Table1[[#This Row],[C]]+Table1[[#This Row],[P]])/Table1[[#This Row],[K]])
)</f>
        <v>#N/A</v>
      </c>
    </row>
    <row r="632" spans="1:18">
      <c r="A632">
        <v>1</v>
      </c>
      <c r="B632" t="s">
        <v>10</v>
      </c>
      <c r="C632" s="1">
        <v>46148</v>
      </c>
      <c r="D632" t="s">
        <v>16</v>
      </c>
      <c r="E632">
        <v>31.5</v>
      </c>
      <c r="F632" t="s">
        <v>12</v>
      </c>
      <c r="G632" t="s">
        <v>13</v>
      </c>
      <c r="H632" s="1">
        <v>46230</v>
      </c>
      <c r="I632">
        <v>0.89500000000000002</v>
      </c>
      <c r="J632">
        <v>0</v>
      </c>
      <c r="K632">
        <v>15</v>
      </c>
      <c r="L632">
        <v>0</v>
      </c>
      <c r="M632">
        <v>43.818876090957602</v>
      </c>
      <c r="N632">
        <v>1.931</v>
      </c>
      <c r="O632">
        <f>(Table1[[#This Row],[P]]&lt;&gt;0)*(Table1[[#This Row],[C]]&lt;&gt;0)</f>
        <v>0</v>
      </c>
      <c r="P632">
        <f>NETWORKDAYS(Table1[[#This Row],[ts_event]],Table1[[#This Row],[option_expiry_date]])</f>
        <v>59</v>
      </c>
      <c r="Q632">
        <f>Table1[[#This Row],[Column2]]/252</f>
        <v>0.23412698412698413</v>
      </c>
      <c r="R632" s="2" t="e">
        <f>IF(Table1[[#This Row],[CHECK2]]=0,NA(),
-(1/Table1[[#This Row],[T]])*LN((Table1[[#This Row],[S0]]-Table1[[#This Row],[C]]+Table1[[#This Row],[P]])/Table1[[#This Row],[K]])
)</f>
        <v>#N/A</v>
      </c>
    </row>
    <row r="633" spans="1:18">
      <c r="A633">
        <v>1</v>
      </c>
      <c r="B633" t="s">
        <v>10</v>
      </c>
      <c r="C633" s="1">
        <v>46148</v>
      </c>
      <c r="D633" t="s">
        <v>16</v>
      </c>
      <c r="E633">
        <v>35</v>
      </c>
      <c r="F633" t="s">
        <v>12</v>
      </c>
      <c r="G633" t="s">
        <v>13</v>
      </c>
      <c r="H633" s="1">
        <v>46230</v>
      </c>
      <c r="I633">
        <v>1.8</v>
      </c>
      <c r="J633">
        <v>0</v>
      </c>
      <c r="K633">
        <v>50</v>
      </c>
      <c r="L633">
        <v>0</v>
      </c>
      <c r="M633">
        <v>43.818876090957602</v>
      </c>
      <c r="N633">
        <v>1.931</v>
      </c>
      <c r="O633">
        <f>(Table1[[#This Row],[P]]&lt;&gt;0)*(Table1[[#This Row],[C]]&lt;&gt;0)</f>
        <v>0</v>
      </c>
      <c r="P633">
        <f>NETWORKDAYS(Table1[[#This Row],[ts_event]],Table1[[#This Row],[option_expiry_date]])</f>
        <v>59</v>
      </c>
      <c r="Q633">
        <f>Table1[[#This Row],[Column2]]/252</f>
        <v>0.23412698412698413</v>
      </c>
      <c r="R633" s="2" t="e">
        <f>IF(Table1[[#This Row],[CHECK2]]=0,NA(),
-(1/Table1[[#This Row],[T]])*LN((Table1[[#This Row],[S0]]-Table1[[#This Row],[C]]+Table1[[#This Row],[P]])/Table1[[#This Row],[K]])
)</f>
        <v>#N/A</v>
      </c>
    </row>
    <row r="634" spans="1:18">
      <c r="A634">
        <v>1</v>
      </c>
      <c r="B634" t="s">
        <v>10</v>
      </c>
      <c r="C634" s="1">
        <v>46148</v>
      </c>
      <c r="D634" t="s">
        <v>16</v>
      </c>
      <c r="E634">
        <v>40</v>
      </c>
      <c r="F634" t="s">
        <v>12</v>
      </c>
      <c r="G634" t="s">
        <v>13</v>
      </c>
      <c r="H634" s="1">
        <v>46230</v>
      </c>
      <c r="I634">
        <v>3.8250000000000002</v>
      </c>
      <c r="J634">
        <v>0</v>
      </c>
      <c r="K634">
        <v>340</v>
      </c>
      <c r="L634">
        <v>0</v>
      </c>
      <c r="M634">
        <v>43.818876090957602</v>
      </c>
      <c r="N634">
        <v>1.931</v>
      </c>
      <c r="O634">
        <f>(Table1[[#This Row],[P]]&lt;&gt;0)*(Table1[[#This Row],[C]]&lt;&gt;0)</f>
        <v>0</v>
      </c>
      <c r="P634">
        <f>NETWORKDAYS(Table1[[#This Row],[ts_event]],Table1[[#This Row],[option_expiry_date]])</f>
        <v>59</v>
      </c>
      <c r="Q634">
        <f>Table1[[#This Row],[Column2]]/252</f>
        <v>0.23412698412698413</v>
      </c>
      <c r="R634" s="2" t="e">
        <f>IF(Table1[[#This Row],[CHECK2]]=0,NA(),
-(1/Table1[[#This Row],[T]])*LN((Table1[[#This Row],[S0]]-Table1[[#This Row],[C]]+Table1[[#This Row],[P]])/Table1[[#This Row],[K]])
)</f>
        <v>#N/A</v>
      </c>
    </row>
    <row r="635" spans="1:18">
      <c r="A635">
        <v>1</v>
      </c>
      <c r="B635" t="s">
        <v>10</v>
      </c>
      <c r="C635" s="1">
        <v>46148</v>
      </c>
      <c r="D635" t="s">
        <v>16</v>
      </c>
      <c r="E635">
        <v>55</v>
      </c>
      <c r="F635" t="s">
        <v>12</v>
      </c>
      <c r="G635" t="s">
        <v>13</v>
      </c>
      <c r="H635" s="1">
        <v>46230</v>
      </c>
      <c r="I635">
        <v>0</v>
      </c>
      <c r="J635">
        <v>3.4849999999999999</v>
      </c>
      <c r="K635">
        <v>0</v>
      </c>
      <c r="L635">
        <v>10</v>
      </c>
      <c r="M635">
        <v>43.818876090957602</v>
      </c>
      <c r="N635">
        <v>1.931</v>
      </c>
      <c r="O635">
        <f>(Table1[[#This Row],[P]]&lt;&gt;0)*(Table1[[#This Row],[C]]&lt;&gt;0)</f>
        <v>0</v>
      </c>
      <c r="P635">
        <f>NETWORKDAYS(Table1[[#This Row],[ts_event]],Table1[[#This Row],[option_expiry_date]])</f>
        <v>59</v>
      </c>
      <c r="Q635">
        <f>Table1[[#This Row],[Column2]]/252</f>
        <v>0.23412698412698413</v>
      </c>
      <c r="R635" s="2" t="e">
        <f>IF(Table1[[#This Row],[CHECK2]]=0,NA(),
-(1/Table1[[#This Row],[T]])*LN((Table1[[#This Row],[S0]]-Table1[[#This Row],[C]]+Table1[[#This Row],[P]])/Table1[[#This Row],[K]])
)</f>
        <v>#N/A</v>
      </c>
    </row>
    <row r="636" spans="1:18">
      <c r="A636">
        <v>1</v>
      </c>
      <c r="B636" t="s">
        <v>10</v>
      </c>
      <c r="C636" s="1">
        <v>46148</v>
      </c>
      <c r="D636" t="s">
        <v>16</v>
      </c>
      <c r="E636">
        <v>70</v>
      </c>
      <c r="F636" t="s">
        <v>12</v>
      </c>
      <c r="G636" t="s">
        <v>13</v>
      </c>
      <c r="H636" s="1">
        <v>46230</v>
      </c>
      <c r="I636">
        <v>0</v>
      </c>
      <c r="J636">
        <v>2</v>
      </c>
      <c r="K636">
        <v>0</v>
      </c>
      <c r="L636">
        <v>240</v>
      </c>
      <c r="M636">
        <v>43.818876090957602</v>
      </c>
      <c r="N636">
        <v>1.931</v>
      </c>
      <c r="O636">
        <f>(Table1[[#This Row],[P]]&lt;&gt;0)*(Table1[[#This Row],[C]]&lt;&gt;0)</f>
        <v>0</v>
      </c>
      <c r="P636">
        <f>NETWORKDAYS(Table1[[#This Row],[ts_event]],Table1[[#This Row],[option_expiry_date]])</f>
        <v>59</v>
      </c>
      <c r="Q636">
        <f>Table1[[#This Row],[Column2]]/252</f>
        <v>0.23412698412698413</v>
      </c>
      <c r="R636" s="2" t="e">
        <f>IF(Table1[[#This Row],[CHECK2]]=0,NA(),
-(1/Table1[[#This Row],[T]])*LN((Table1[[#This Row],[S0]]-Table1[[#This Row],[C]]+Table1[[#This Row],[P]])/Table1[[#This Row],[K]])
)</f>
        <v>#N/A</v>
      </c>
    </row>
    <row r="637" spans="1:18">
      <c r="A637">
        <v>1</v>
      </c>
      <c r="B637" t="s">
        <v>10</v>
      </c>
      <c r="C637" s="1">
        <v>46148</v>
      </c>
      <c r="D637" t="s">
        <v>17</v>
      </c>
      <c r="E637">
        <v>25</v>
      </c>
      <c r="F637" t="s">
        <v>12</v>
      </c>
      <c r="G637" t="s">
        <v>13</v>
      </c>
      <c r="H637" s="1">
        <v>46260</v>
      </c>
      <c r="I637">
        <v>0.2</v>
      </c>
      <c r="J637">
        <v>0</v>
      </c>
      <c r="K637">
        <v>100</v>
      </c>
      <c r="L637">
        <v>0</v>
      </c>
      <c r="M637">
        <v>43.760870191010198</v>
      </c>
      <c r="N637">
        <v>1.931</v>
      </c>
      <c r="O637">
        <f>(Table1[[#This Row],[P]]&lt;&gt;0)*(Table1[[#This Row],[C]]&lt;&gt;0)</f>
        <v>0</v>
      </c>
      <c r="P637">
        <f>NETWORKDAYS(Table1[[#This Row],[ts_event]],Table1[[#This Row],[option_expiry_date]])</f>
        <v>81</v>
      </c>
      <c r="Q637">
        <f>Table1[[#This Row],[Column2]]/252</f>
        <v>0.32142857142857145</v>
      </c>
      <c r="R637" s="2" t="e">
        <f>IF(Table1[[#This Row],[CHECK2]]=0,NA(),
-(1/Table1[[#This Row],[T]])*LN((Table1[[#This Row],[S0]]-Table1[[#This Row],[C]]+Table1[[#This Row],[P]])/Table1[[#This Row],[K]])
)</f>
        <v>#N/A</v>
      </c>
    </row>
    <row r="638" spans="1:18">
      <c r="A638">
        <v>1</v>
      </c>
      <c r="B638" t="s">
        <v>10</v>
      </c>
      <c r="C638" s="1">
        <v>46148</v>
      </c>
      <c r="D638" t="s">
        <v>17</v>
      </c>
      <c r="E638">
        <v>42</v>
      </c>
      <c r="F638" t="s">
        <v>12</v>
      </c>
      <c r="G638" t="s">
        <v>13</v>
      </c>
      <c r="H638" s="1">
        <v>46260</v>
      </c>
      <c r="I638">
        <v>0</v>
      </c>
      <c r="J638">
        <v>8.0399999999999991</v>
      </c>
      <c r="K638">
        <v>0</v>
      </c>
      <c r="L638">
        <v>400</v>
      </c>
      <c r="M638">
        <v>43.760870191010198</v>
      </c>
      <c r="N638">
        <v>1.931</v>
      </c>
      <c r="O638">
        <f>(Table1[[#This Row],[P]]&lt;&gt;0)*(Table1[[#This Row],[C]]&lt;&gt;0)</f>
        <v>0</v>
      </c>
      <c r="P638">
        <f>NETWORKDAYS(Table1[[#This Row],[ts_event]],Table1[[#This Row],[option_expiry_date]])</f>
        <v>81</v>
      </c>
      <c r="Q638">
        <f>Table1[[#This Row],[Column2]]/252</f>
        <v>0.32142857142857145</v>
      </c>
      <c r="R638" s="2" t="e">
        <f>IF(Table1[[#This Row],[CHECK2]]=0,NA(),
-(1/Table1[[#This Row],[T]])*LN((Table1[[#This Row],[S0]]-Table1[[#This Row],[C]]+Table1[[#This Row],[P]])/Table1[[#This Row],[K]])
)</f>
        <v>#N/A</v>
      </c>
    </row>
    <row r="639" spans="1:18">
      <c r="A639">
        <v>1</v>
      </c>
      <c r="B639" t="s">
        <v>10</v>
      </c>
      <c r="C639" s="1">
        <v>46148</v>
      </c>
      <c r="D639" t="s">
        <v>17</v>
      </c>
      <c r="E639">
        <v>50</v>
      </c>
      <c r="F639" t="s">
        <v>12</v>
      </c>
      <c r="G639" t="s">
        <v>13</v>
      </c>
      <c r="H639" s="1">
        <v>46260</v>
      </c>
      <c r="I639">
        <v>0</v>
      </c>
      <c r="J639">
        <v>5.76</v>
      </c>
      <c r="K639">
        <v>0</v>
      </c>
      <c r="L639">
        <v>950</v>
      </c>
      <c r="M639">
        <v>43.760870191010198</v>
      </c>
      <c r="N639">
        <v>1.931</v>
      </c>
      <c r="O639">
        <f>(Table1[[#This Row],[P]]&lt;&gt;0)*(Table1[[#This Row],[C]]&lt;&gt;0)</f>
        <v>0</v>
      </c>
      <c r="P639">
        <f>NETWORKDAYS(Table1[[#This Row],[ts_event]],Table1[[#This Row],[option_expiry_date]])</f>
        <v>81</v>
      </c>
      <c r="Q639">
        <f>Table1[[#This Row],[Column2]]/252</f>
        <v>0.32142857142857145</v>
      </c>
      <c r="R639" s="2" t="e">
        <f>IF(Table1[[#This Row],[CHECK2]]=0,NA(),
-(1/Table1[[#This Row],[T]])*LN((Table1[[#This Row],[S0]]-Table1[[#This Row],[C]]+Table1[[#This Row],[P]])/Table1[[#This Row],[K]])
)</f>
        <v>#N/A</v>
      </c>
    </row>
    <row r="640" spans="1:18">
      <c r="A640">
        <v>1</v>
      </c>
      <c r="B640" t="s">
        <v>10</v>
      </c>
      <c r="C640" s="1">
        <v>46148</v>
      </c>
      <c r="D640" t="s">
        <v>17</v>
      </c>
      <c r="E640">
        <v>55</v>
      </c>
      <c r="F640" t="s">
        <v>12</v>
      </c>
      <c r="G640" t="s">
        <v>13</v>
      </c>
      <c r="H640" s="1">
        <v>46260</v>
      </c>
      <c r="I640">
        <v>0</v>
      </c>
      <c r="J640">
        <v>3.5</v>
      </c>
      <c r="K640">
        <v>0</v>
      </c>
      <c r="L640">
        <v>75</v>
      </c>
      <c r="M640">
        <v>43.760870191010198</v>
      </c>
      <c r="N640">
        <v>1.931</v>
      </c>
      <c r="O640">
        <f>(Table1[[#This Row],[P]]&lt;&gt;0)*(Table1[[#This Row],[C]]&lt;&gt;0)</f>
        <v>0</v>
      </c>
      <c r="P640">
        <f>NETWORKDAYS(Table1[[#This Row],[ts_event]],Table1[[#This Row],[option_expiry_date]])</f>
        <v>81</v>
      </c>
      <c r="Q640">
        <f>Table1[[#This Row],[Column2]]/252</f>
        <v>0.32142857142857145</v>
      </c>
      <c r="R640" s="2" t="e">
        <f>IF(Table1[[#This Row],[CHECK2]]=0,NA(),
-(1/Table1[[#This Row],[T]])*LN((Table1[[#This Row],[S0]]-Table1[[#This Row],[C]]+Table1[[#This Row],[P]])/Table1[[#This Row],[K]])
)</f>
        <v>#N/A</v>
      </c>
    </row>
    <row r="641" spans="1:18">
      <c r="A641">
        <v>1</v>
      </c>
      <c r="B641" t="s">
        <v>10</v>
      </c>
      <c r="C641" s="1">
        <v>46148</v>
      </c>
      <c r="D641" t="s">
        <v>19</v>
      </c>
      <c r="E641">
        <v>75</v>
      </c>
      <c r="F641" t="s">
        <v>12</v>
      </c>
      <c r="G641" t="s">
        <v>13</v>
      </c>
      <c r="H641" s="1">
        <v>46380</v>
      </c>
      <c r="I641">
        <v>0</v>
      </c>
      <c r="J641">
        <v>3.85</v>
      </c>
      <c r="K641">
        <v>0</v>
      </c>
      <c r="L641">
        <v>175</v>
      </c>
      <c r="M641">
        <v>43.119086110978998</v>
      </c>
      <c r="N641">
        <v>1.931</v>
      </c>
      <c r="O641">
        <f>(Table1[[#This Row],[P]]&lt;&gt;0)*(Table1[[#This Row],[C]]&lt;&gt;0)</f>
        <v>0</v>
      </c>
      <c r="P641">
        <f>NETWORKDAYS(Table1[[#This Row],[ts_event]],Table1[[#This Row],[option_expiry_date]])</f>
        <v>167</v>
      </c>
      <c r="Q641">
        <f>Table1[[#This Row],[Column2]]/252</f>
        <v>0.66269841269841268</v>
      </c>
      <c r="R641" s="2" t="e">
        <f>IF(Table1[[#This Row],[CHECK2]]=0,NA(),
-(1/Table1[[#This Row],[T]])*LN((Table1[[#This Row],[S0]]-Table1[[#This Row],[C]]+Table1[[#This Row],[P]])/Table1[[#This Row],[K]])
)</f>
        <v>#N/A</v>
      </c>
    </row>
    <row r="642" spans="1:18">
      <c r="A642">
        <v>1</v>
      </c>
      <c r="B642" t="s">
        <v>10</v>
      </c>
      <c r="C642" s="1">
        <v>46149</v>
      </c>
      <c r="D642" t="s">
        <v>14</v>
      </c>
      <c r="E642">
        <v>25</v>
      </c>
      <c r="F642" t="s">
        <v>12</v>
      </c>
      <c r="G642" t="s">
        <v>13</v>
      </c>
      <c r="H642" s="1">
        <v>46169</v>
      </c>
      <c r="I642">
        <v>3.5000000000000003E-2</v>
      </c>
      <c r="J642">
        <v>0</v>
      </c>
      <c r="K642">
        <v>500</v>
      </c>
      <c r="L642">
        <v>0</v>
      </c>
      <c r="M642">
        <v>45.009759887363899</v>
      </c>
      <c r="N642">
        <v>1.93</v>
      </c>
      <c r="O642">
        <f>(Table1[[#This Row],[P]]&lt;&gt;0)*(Table1[[#This Row],[C]]&lt;&gt;0)</f>
        <v>0</v>
      </c>
      <c r="P642">
        <f>NETWORKDAYS(Table1[[#This Row],[ts_event]],Table1[[#This Row],[option_expiry_date]])</f>
        <v>15</v>
      </c>
      <c r="Q642">
        <f>Table1[[#This Row],[Column2]]/252</f>
        <v>5.9523809523809521E-2</v>
      </c>
      <c r="R642" s="2" t="e">
        <f>IF(Table1[[#This Row],[CHECK2]]=0,NA(),
-(1/Table1[[#This Row],[T]])*LN((Table1[[#This Row],[S0]]-Table1[[#This Row],[C]]+Table1[[#This Row],[P]])/Table1[[#This Row],[K]])
)</f>
        <v>#N/A</v>
      </c>
    </row>
    <row r="643" spans="1:18">
      <c r="A643">
        <v>2</v>
      </c>
      <c r="B643" t="s">
        <v>10</v>
      </c>
      <c r="C643" s="1">
        <v>46149</v>
      </c>
      <c r="D643" t="s">
        <v>14</v>
      </c>
      <c r="E643">
        <v>30</v>
      </c>
      <c r="F643" t="s">
        <v>12</v>
      </c>
      <c r="G643" t="s">
        <v>13</v>
      </c>
      <c r="H643" s="1">
        <v>46169</v>
      </c>
      <c r="I643">
        <v>7.6825396825396797E-2</v>
      </c>
      <c r="J643">
        <v>0</v>
      </c>
      <c r="K643">
        <v>3150</v>
      </c>
      <c r="L643">
        <v>0</v>
      </c>
      <c r="M643">
        <v>45.009759887363899</v>
      </c>
      <c r="N643">
        <v>1.93</v>
      </c>
      <c r="O643">
        <f>(Table1[[#This Row],[P]]&lt;&gt;0)*(Table1[[#This Row],[C]]&lt;&gt;0)</f>
        <v>0</v>
      </c>
      <c r="P643">
        <f>NETWORKDAYS(Table1[[#This Row],[ts_event]],Table1[[#This Row],[option_expiry_date]])</f>
        <v>15</v>
      </c>
      <c r="Q643">
        <f>Table1[[#This Row],[Column2]]/252</f>
        <v>5.9523809523809521E-2</v>
      </c>
      <c r="R643" s="2" t="e">
        <f>IF(Table1[[#This Row],[CHECK2]]=0,NA(),
-(1/Table1[[#This Row],[T]])*LN((Table1[[#This Row],[S0]]-Table1[[#This Row],[C]]+Table1[[#This Row],[P]])/Table1[[#This Row],[K]])
)</f>
        <v>#N/A</v>
      </c>
    </row>
    <row r="644" spans="1:18">
      <c r="A644">
        <v>1</v>
      </c>
      <c r="B644" t="s">
        <v>10</v>
      </c>
      <c r="C644" s="1">
        <v>46149</v>
      </c>
      <c r="D644" t="s">
        <v>14</v>
      </c>
      <c r="E644">
        <v>34</v>
      </c>
      <c r="F644" t="s">
        <v>12</v>
      </c>
      <c r="G644" t="s">
        <v>13</v>
      </c>
      <c r="H644" s="1">
        <v>46169</v>
      </c>
      <c r="I644">
        <v>0.26</v>
      </c>
      <c r="J644">
        <v>0</v>
      </c>
      <c r="K644">
        <v>500</v>
      </c>
      <c r="L644">
        <v>0</v>
      </c>
      <c r="M644">
        <v>45.009759887363899</v>
      </c>
      <c r="N644">
        <v>1.93</v>
      </c>
      <c r="O644">
        <f>(Table1[[#This Row],[P]]&lt;&gt;0)*(Table1[[#This Row],[C]]&lt;&gt;0)</f>
        <v>0</v>
      </c>
      <c r="P644">
        <f>NETWORKDAYS(Table1[[#This Row],[ts_event]],Table1[[#This Row],[option_expiry_date]])</f>
        <v>15</v>
      </c>
      <c r="Q644">
        <f>Table1[[#This Row],[Column2]]/252</f>
        <v>5.9523809523809521E-2</v>
      </c>
      <c r="R644" s="2" t="e">
        <f>IF(Table1[[#This Row],[CHECK2]]=0,NA(),
-(1/Table1[[#This Row],[T]])*LN((Table1[[#This Row],[S0]]-Table1[[#This Row],[C]]+Table1[[#This Row],[P]])/Table1[[#This Row],[K]])
)</f>
        <v>#N/A</v>
      </c>
    </row>
    <row r="645" spans="1:18">
      <c r="A645">
        <v>2</v>
      </c>
      <c r="B645" t="s">
        <v>10</v>
      </c>
      <c r="C645" s="1">
        <v>46149</v>
      </c>
      <c r="D645" t="s">
        <v>14</v>
      </c>
      <c r="E645">
        <v>35</v>
      </c>
      <c r="F645" t="s">
        <v>12</v>
      </c>
      <c r="G645" t="s">
        <v>13</v>
      </c>
      <c r="H645" s="1">
        <v>46169</v>
      </c>
      <c r="I645">
        <v>0.351296296296296</v>
      </c>
      <c r="J645">
        <v>0</v>
      </c>
      <c r="K645">
        <v>3780</v>
      </c>
      <c r="L645">
        <v>0</v>
      </c>
      <c r="M645">
        <v>45.009759887363899</v>
      </c>
      <c r="N645">
        <v>1.93</v>
      </c>
      <c r="O645">
        <f>(Table1[[#This Row],[P]]&lt;&gt;0)*(Table1[[#This Row],[C]]&lt;&gt;0)</f>
        <v>0</v>
      </c>
      <c r="P645">
        <f>NETWORKDAYS(Table1[[#This Row],[ts_event]],Table1[[#This Row],[option_expiry_date]])</f>
        <v>15</v>
      </c>
      <c r="Q645">
        <f>Table1[[#This Row],[Column2]]/252</f>
        <v>5.9523809523809521E-2</v>
      </c>
      <c r="R645" s="2" t="e">
        <f>IF(Table1[[#This Row],[CHECK2]]=0,NA(),
-(1/Table1[[#This Row],[T]])*LN((Table1[[#This Row],[S0]]-Table1[[#This Row],[C]]+Table1[[#This Row],[P]])/Table1[[#This Row],[K]])
)</f>
        <v>#N/A</v>
      </c>
    </row>
    <row r="646" spans="1:18">
      <c r="A646">
        <v>1</v>
      </c>
      <c r="B646" t="s">
        <v>10</v>
      </c>
      <c r="C646" s="1">
        <v>46149</v>
      </c>
      <c r="D646" t="s">
        <v>14</v>
      </c>
      <c r="E646">
        <v>37</v>
      </c>
      <c r="F646" t="s">
        <v>12</v>
      </c>
      <c r="G646" t="s">
        <v>13</v>
      </c>
      <c r="H646" s="1">
        <v>46169</v>
      </c>
      <c r="I646">
        <v>0.65</v>
      </c>
      <c r="J646">
        <v>0</v>
      </c>
      <c r="K646">
        <v>100</v>
      </c>
      <c r="L646">
        <v>0</v>
      </c>
      <c r="M646">
        <v>45.009759887363899</v>
      </c>
      <c r="N646">
        <v>1.93</v>
      </c>
      <c r="O646">
        <f>(Table1[[#This Row],[P]]&lt;&gt;0)*(Table1[[#This Row],[C]]&lt;&gt;0)</f>
        <v>0</v>
      </c>
      <c r="P646">
        <f>NETWORKDAYS(Table1[[#This Row],[ts_event]],Table1[[#This Row],[option_expiry_date]])</f>
        <v>15</v>
      </c>
      <c r="Q646">
        <f>Table1[[#This Row],[Column2]]/252</f>
        <v>5.9523809523809521E-2</v>
      </c>
      <c r="R646" s="2" t="e">
        <f>IF(Table1[[#This Row],[CHECK2]]=0,NA(),
-(1/Table1[[#This Row],[T]])*LN((Table1[[#This Row],[S0]]-Table1[[#This Row],[C]]+Table1[[#This Row],[P]])/Table1[[#This Row],[K]])
)</f>
        <v>#N/A</v>
      </c>
    </row>
    <row r="647" spans="1:18">
      <c r="A647">
        <v>2</v>
      </c>
      <c r="B647" t="s">
        <v>10</v>
      </c>
      <c r="C647" s="1">
        <v>46149</v>
      </c>
      <c r="D647" t="s">
        <v>14</v>
      </c>
      <c r="E647">
        <v>38</v>
      </c>
      <c r="F647" t="s">
        <v>12</v>
      </c>
      <c r="G647" t="s">
        <v>13</v>
      </c>
      <c r="H647" s="1">
        <v>46169</v>
      </c>
      <c r="I647">
        <v>0.917450980392156</v>
      </c>
      <c r="J647">
        <v>0</v>
      </c>
      <c r="K647">
        <v>5100</v>
      </c>
      <c r="L647">
        <v>0</v>
      </c>
      <c r="M647">
        <v>45.009759887363899</v>
      </c>
      <c r="N647">
        <v>1.93</v>
      </c>
      <c r="O647">
        <f>(Table1[[#This Row],[P]]&lt;&gt;0)*(Table1[[#This Row],[C]]&lt;&gt;0)</f>
        <v>0</v>
      </c>
      <c r="P647">
        <f>NETWORKDAYS(Table1[[#This Row],[ts_event]],Table1[[#This Row],[option_expiry_date]])</f>
        <v>15</v>
      </c>
      <c r="Q647">
        <f>Table1[[#This Row],[Column2]]/252</f>
        <v>5.9523809523809521E-2</v>
      </c>
      <c r="R647" s="2" t="e">
        <f>IF(Table1[[#This Row],[CHECK2]]=0,NA(),
-(1/Table1[[#This Row],[T]])*LN((Table1[[#This Row],[S0]]-Table1[[#This Row],[C]]+Table1[[#This Row],[P]])/Table1[[#This Row],[K]])
)</f>
        <v>#N/A</v>
      </c>
    </row>
    <row r="648" spans="1:18">
      <c r="A648">
        <v>1</v>
      </c>
      <c r="B648" t="s">
        <v>10</v>
      </c>
      <c r="C648" s="1">
        <v>46149</v>
      </c>
      <c r="D648" t="s">
        <v>14</v>
      </c>
      <c r="E648">
        <v>39</v>
      </c>
      <c r="F648" t="s">
        <v>12</v>
      </c>
      <c r="G648" t="s">
        <v>13</v>
      </c>
      <c r="H648" s="1">
        <v>46169</v>
      </c>
      <c r="I648">
        <v>1.3</v>
      </c>
      <c r="J648">
        <v>0</v>
      </c>
      <c r="K648">
        <v>2000</v>
      </c>
      <c r="L648">
        <v>0</v>
      </c>
      <c r="M648">
        <v>45.009759887363899</v>
      </c>
      <c r="N648">
        <v>1.93</v>
      </c>
      <c r="O648">
        <f>(Table1[[#This Row],[P]]&lt;&gt;0)*(Table1[[#This Row],[C]]&lt;&gt;0)</f>
        <v>0</v>
      </c>
      <c r="P648">
        <f>NETWORKDAYS(Table1[[#This Row],[ts_event]],Table1[[#This Row],[option_expiry_date]])</f>
        <v>15</v>
      </c>
      <c r="Q648">
        <f>Table1[[#This Row],[Column2]]/252</f>
        <v>5.9523809523809521E-2</v>
      </c>
      <c r="R648" s="2" t="e">
        <f>IF(Table1[[#This Row],[CHECK2]]=0,NA(),
-(1/Table1[[#This Row],[T]])*LN((Table1[[#This Row],[S0]]-Table1[[#This Row],[C]]+Table1[[#This Row],[P]])/Table1[[#This Row],[K]])
)</f>
        <v>#N/A</v>
      </c>
    </row>
    <row r="649" spans="1:18">
      <c r="A649">
        <v>1</v>
      </c>
      <c r="B649" t="s">
        <v>10</v>
      </c>
      <c r="C649" s="1">
        <v>46149</v>
      </c>
      <c r="D649" t="s">
        <v>14</v>
      </c>
      <c r="E649">
        <v>40</v>
      </c>
      <c r="F649" t="s">
        <v>12</v>
      </c>
      <c r="G649" t="s">
        <v>13</v>
      </c>
      <c r="H649" s="1">
        <v>46169</v>
      </c>
      <c r="I649">
        <v>1.56</v>
      </c>
      <c r="J649">
        <v>0</v>
      </c>
      <c r="K649">
        <v>250</v>
      </c>
      <c r="L649">
        <v>0</v>
      </c>
      <c r="M649">
        <v>45.009759887363899</v>
      </c>
      <c r="N649">
        <v>1.93</v>
      </c>
      <c r="O649">
        <f>(Table1[[#This Row],[P]]&lt;&gt;0)*(Table1[[#This Row],[C]]&lt;&gt;0)</f>
        <v>0</v>
      </c>
      <c r="P649">
        <f>NETWORKDAYS(Table1[[#This Row],[ts_event]],Table1[[#This Row],[option_expiry_date]])</f>
        <v>15</v>
      </c>
      <c r="Q649">
        <f>Table1[[#This Row],[Column2]]/252</f>
        <v>5.9523809523809521E-2</v>
      </c>
      <c r="R649" s="2" t="e">
        <f>IF(Table1[[#This Row],[CHECK2]]=0,NA(),
-(1/Table1[[#This Row],[T]])*LN((Table1[[#This Row],[S0]]-Table1[[#This Row],[C]]+Table1[[#This Row],[P]])/Table1[[#This Row],[K]])
)</f>
        <v>#N/A</v>
      </c>
    </row>
    <row r="650" spans="1:18">
      <c r="A650">
        <v>2</v>
      </c>
      <c r="B650" t="s">
        <v>10</v>
      </c>
      <c r="C650" s="1">
        <v>46149</v>
      </c>
      <c r="D650" t="s">
        <v>14</v>
      </c>
      <c r="E650">
        <v>42</v>
      </c>
      <c r="F650" t="s">
        <v>12</v>
      </c>
      <c r="G650" t="s">
        <v>13</v>
      </c>
      <c r="H650" s="1">
        <v>46169</v>
      </c>
      <c r="I650">
        <v>2.6</v>
      </c>
      <c r="J650">
        <v>4</v>
      </c>
      <c r="K650">
        <v>1650</v>
      </c>
      <c r="L650">
        <v>25</v>
      </c>
      <c r="M650">
        <v>45.009759887363899</v>
      </c>
      <c r="N650">
        <v>1.93</v>
      </c>
      <c r="O650">
        <f>(Table1[[#This Row],[P]]&lt;&gt;0)*(Table1[[#This Row],[C]]&lt;&gt;0)</f>
        <v>1</v>
      </c>
      <c r="P650">
        <f>NETWORKDAYS(Table1[[#This Row],[ts_event]],Table1[[#This Row],[option_expiry_date]])</f>
        <v>15</v>
      </c>
      <c r="Q650">
        <f>Table1[[#This Row],[Column2]]/252</f>
        <v>5.9523809523809521E-2</v>
      </c>
      <c r="R650" s="2">
        <f>IF(Table1[[#This Row],[CHECK2]]=0,NA(),
-(1/Table1[[#This Row],[T]])*LN((Table1[[#This Row],[S0]]-Table1[[#This Row],[C]]+Table1[[#This Row],[P]])/Table1[[#This Row],[K]])
)</f>
        <v>-0.63187080849344346</v>
      </c>
    </row>
    <row r="651" spans="1:18">
      <c r="A651">
        <v>2</v>
      </c>
      <c r="B651" t="s">
        <v>10</v>
      </c>
      <c r="C651" s="1">
        <v>46149</v>
      </c>
      <c r="D651" t="s">
        <v>14</v>
      </c>
      <c r="E651">
        <v>43</v>
      </c>
      <c r="F651" t="s">
        <v>12</v>
      </c>
      <c r="G651" t="s">
        <v>13</v>
      </c>
      <c r="H651" s="1">
        <v>46169</v>
      </c>
      <c r="I651">
        <v>3.08</v>
      </c>
      <c r="J651">
        <v>3.5</v>
      </c>
      <c r="K651">
        <v>2350</v>
      </c>
      <c r="L651">
        <v>75</v>
      </c>
      <c r="M651">
        <v>45.009759887363899</v>
      </c>
      <c r="N651">
        <v>1.93</v>
      </c>
      <c r="O651">
        <f>(Table1[[#This Row],[P]]&lt;&gt;0)*(Table1[[#This Row],[C]]&lt;&gt;0)</f>
        <v>1</v>
      </c>
      <c r="P651">
        <f>NETWORKDAYS(Table1[[#This Row],[ts_event]],Table1[[#This Row],[option_expiry_date]])</f>
        <v>15</v>
      </c>
      <c r="Q651">
        <f>Table1[[#This Row],[Column2]]/252</f>
        <v>5.9523809523809521E-2</v>
      </c>
      <c r="R651" s="2">
        <f>IF(Table1[[#This Row],[CHECK2]]=0,NA(),
-(1/Table1[[#This Row],[T]])*LN((Table1[[#This Row],[S0]]-Table1[[#This Row],[C]]+Table1[[#This Row],[P]])/Table1[[#This Row],[K]])
)</f>
        <v>-0.60990918294693119</v>
      </c>
    </row>
    <row r="652" spans="1:18">
      <c r="A652">
        <v>3</v>
      </c>
      <c r="B652" t="s">
        <v>10</v>
      </c>
      <c r="C652" s="1">
        <v>46149</v>
      </c>
      <c r="D652" t="s">
        <v>14</v>
      </c>
      <c r="E652">
        <v>44</v>
      </c>
      <c r="F652" t="s">
        <v>12</v>
      </c>
      <c r="G652" t="s">
        <v>13</v>
      </c>
      <c r="H652" s="1">
        <v>46169</v>
      </c>
      <c r="I652">
        <v>3.7</v>
      </c>
      <c r="J652">
        <v>3.2</v>
      </c>
      <c r="K652">
        <v>5</v>
      </c>
      <c r="L652">
        <v>75</v>
      </c>
      <c r="M652">
        <v>45.009759887363899</v>
      </c>
      <c r="N652">
        <v>1.93</v>
      </c>
      <c r="O652">
        <f>(Table1[[#This Row],[P]]&lt;&gt;0)*(Table1[[#This Row],[C]]&lt;&gt;0)</f>
        <v>1</v>
      </c>
      <c r="P652">
        <f>NETWORKDAYS(Table1[[#This Row],[ts_event]],Table1[[#This Row],[option_expiry_date]])</f>
        <v>15</v>
      </c>
      <c r="Q652">
        <f>Table1[[#This Row],[Column2]]/252</f>
        <v>5.9523809523809521E-2</v>
      </c>
      <c r="R652" s="2">
        <f>IF(Table1[[#This Row],[CHECK2]]=0,NA(),
-(1/Table1[[#This Row],[T]])*LN((Table1[[#This Row],[S0]]-Table1[[#This Row],[C]]+Table1[[#This Row],[P]])/Table1[[#This Row],[K]])
)</f>
        <v>-0.56678449052647162</v>
      </c>
    </row>
    <row r="653" spans="1:18">
      <c r="A653">
        <v>2</v>
      </c>
      <c r="B653" t="s">
        <v>10</v>
      </c>
      <c r="C653" s="1">
        <v>46149</v>
      </c>
      <c r="D653" t="s">
        <v>14</v>
      </c>
      <c r="E653">
        <v>45</v>
      </c>
      <c r="F653" t="s">
        <v>12</v>
      </c>
      <c r="G653" t="s">
        <v>13</v>
      </c>
      <c r="H653" s="1">
        <v>46169</v>
      </c>
      <c r="I653">
        <v>4.2</v>
      </c>
      <c r="J653">
        <v>2.875</v>
      </c>
      <c r="K653">
        <v>200</v>
      </c>
      <c r="L653">
        <v>660</v>
      </c>
      <c r="M653">
        <v>45.009759887363899</v>
      </c>
      <c r="N653">
        <v>1.93</v>
      </c>
      <c r="O653">
        <f>(Table1[[#This Row],[P]]&lt;&gt;0)*(Table1[[#This Row],[C]]&lt;&gt;0)</f>
        <v>1</v>
      </c>
      <c r="P653">
        <f>NETWORKDAYS(Table1[[#This Row],[ts_event]],Table1[[#This Row],[option_expiry_date]])</f>
        <v>15</v>
      </c>
      <c r="Q653">
        <f>Table1[[#This Row],[Column2]]/252</f>
        <v>5.9523809523809521E-2</v>
      </c>
      <c r="R653" s="2">
        <f>IF(Table1[[#This Row],[CHECK2]]=0,NA(),
-(1/Table1[[#This Row],[T]])*LN((Table1[[#This Row],[S0]]-Table1[[#This Row],[C]]+Table1[[#This Row],[P]])/Table1[[#This Row],[K]])
)</f>
        <v>-0.49106304499063114</v>
      </c>
    </row>
    <row r="654" spans="1:18">
      <c r="A654">
        <v>1</v>
      </c>
      <c r="B654" t="s">
        <v>10</v>
      </c>
      <c r="C654" s="1">
        <v>46149</v>
      </c>
      <c r="D654" t="s">
        <v>14</v>
      </c>
      <c r="E654">
        <v>46</v>
      </c>
      <c r="F654" t="s">
        <v>12</v>
      </c>
      <c r="G654" t="s">
        <v>13</v>
      </c>
      <c r="H654" s="1">
        <v>46169</v>
      </c>
      <c r="I654">
        <v>0</v>
      </c>
      <c r="J654">
        <v>2.6</v>
      </c>
      <c r="K654">
        <v>0</v>
      </c>
      <c r="L654">
        <v>25</v>
      </c>
      <c r="M654">
        <v>45.009759887363899</v>
      </c>
      <c r="N654">
        <v>1.93</v>
      </c>
      <c r="O654">
        <f>(Table1[[#This Row],[P]]&lt;&gt;0)*(Table1[[#This Row],[C]]&lt;&gt;0)</f>
        <v>0</v>
      </c>
      <c r="P654">
        <f>NETWORKDAYS(Table1[[#This Row],[ts_event]],Table1[[#This Row],[option_expiry_date]])</f>
        <v>15</v>
      </c>
      <c r="Q654">
        <f>Table1[[#This Row],[Column2]]/252</f>
        <v>5.9523809523809521E-2</v>
      </c>
      <c r="R654" s="2" t="e">
        <f>IF(Table1[[#This Row],[CHECK2]]=0,NA(),
-(1/Table1[[#This Row],[T]])*LN((Table1[[#This Row],[S0]]-Table1[[#This Row],[C]]+Table1[[#This Row],[P]])/Table1[[#This Row],[K]])
)</f>
        <v>#N/A</v>
      </c>
    </row>
    <row r="655" spans="1:18">
      <c r="A655">
        <v>1</v>
      </c>
      <c r="B655" t="s">
        <v>10</v>
      </c>
      <c r="C655" s="1">
        <v>46149</v>
      </c>
      <c r="D655" t="s">
        <v>14</v>
      </c>
      <c r="E655">
        <v>47</v>
      </c>
      <c r="F655" t="s">
        <v>12</v>
      </c>
      <c r="G655" t="s">
        <v>13</v>
      </c>
      <c r="H655" s="1">
        <v>46169</v>
      </c>
      <c r="I655">
        <v>0</v>
      </c>
      <c r="J655">
        <v>2.35</v>
      </c>
      <c r="K655">
        <v>0</v>
      </c>
      <c r="L655">
        <v>400</v>
      </c>
      <c r="M655">
        <v>45.009759887363899</v>
      </c>
      <c r="N655">
        <v>1.93</v>
      </c>
      <c r="O655">
        <f>(Table1[[#This Row],[P]]&lt;&gt;0)*(Table1[[#This Row],[C]]&lt;&gt;0)</f>
        <v>0</v>
      </c>
      <c r="P655">
        <f>NETWORKDAYS(Table1[[#This Row],[ts_event]],Table1[[#This Row],[option_expiry_date]])</f>
        <v>15</v>
      </c>
      <c r="Q655">
        <f>Table1[[#This Row],[Column2]]/252</f>
        <v>5.9523809523809521E-2</v>
      </c>
      <c r="R655" s="2" t="e">
        <f>IF(Table1[[#This Row],[CHECK2]]=0,NA(),
-(1/Table1[[#This Row],[T]])*LN((Table1[[#This Row],[S0]]-Table1[[#This Row],[C]]+Table1[[#This Row],[P]])/Table1[[#This Row],[K]])
)</f>
        <v>#N/A</v>
      </c>
    </row>
    <row r="656" spans="1:18">
      <c r="A656">
        <v>3</v>
      </c>
      <c r="B656" t="s">
        <v>10</v>
      </c>
      <c r="C656" s="1">
        <v>46149</v>
      </c>
      <c r="D656" t="s">
        <v>14</v>
      </c>
      <c r="E656">
        <v>48</v>
      </c>
      <c r="F656" t="s">
        <v>12</v>
      </c>
      <c r="G656" t="s">
        <v>13</v>
      </c>
      <c r="H656" s="1">
        <v>46169</v>
      </c>
      <c r="I656">
        <v>8.3800000000000008</v>
      </c>
      <c r="J656">
        <v>2.08</v>
      </c>
      <c r="K656">
        <v>50</v>
      </c>
      <c r="L656">
        <v>50</v>
      </c>
      <c r="M656">
        <v>45.009759887363899</v>
      </c>
      <c r="N656">
        <v>1.93</v>
      </c>
      <c r="O656">
        <f>(Table1[[#This Row],[P]]&lt;&gt;0)*(Table1[[#This Row],[C]]&lt;&gt;0)</f>
        <v>1</v>
      </c>
      <c r="P656">
        <f>NETWORKDAYS(Table1[[#This Row],[ts_event]],Table1[[#This Row],[option_expiry_date]])</f>
        <v>15</v>
      </c>
      <c r="Q656">
        <f>Table1[[#This Row],[Column2]]/252</f>
        <v>5.9523809523809521E-2</v>
      </c>
      <c r="R656" s="2">
        <f>IF(Table1[[#This Row],[CHECK2]]=0,NA(),
-(1/Table1[[#This Row],[T]])*LN((Table1[[#This Row],[S0]]-Table1[[#This Row],[C]]+Table1[[#This Row],[P]])/Table1[[#This Row],[K]])
)</f>
        <v>-1.1202235697358076</v>
      </c>
    </row>
    <row r="657" spans="1:18">
      <c r="A657">
        <v>3</v>
      </c>
      <c r="B657" t="s">
        <v>10</v>
      </c>
      <c r="C657" s="1">
        <v>46149</v>
      </c>
      <c r="D657" t="s">
        <v>14</v>
      </c>
      <c r="E657">
        <v>50</v>
      </c>
      <c r="F657" t="s">
        <v>12</v>
      </c>
      <c r="G657" t="s">
        <v>13</v>
      </c>
      <c r="H657" s="1">
        <v>46169</v>
      </c>
      <c r="I657">
        <v>8</v>
      </c>
      <c r="J657">
        <v>1.63237864077669</v>
      </c>
      <c r="K657">
        <v>300</v>
      </c>
      <c r="L657">
        <v>515</v>
      </c>
      <c r="M657">
        <v>45.009759887363899</v>
      </c>
      <c r="N657">
        <v>1.93</v>
      </c>
      <c r="O657">
        <f>(Table1[[#This Row],[P]]&lt;&gt;0)*(Table1[[#This Row],[C]]&lt;&gt;0)</f>
        <v>1</v>
      </c>
      <c r="P657">
        <f>NETWORKDAYS(Table1[[#This Row],[ts_event]],Table1[[#This Row],[option_expiry_date]])</f>
        <v>15</v>
      </c>
      <c r="Q657">
        <f>Table1[[#This Row],[Column2]]/252</f>
        <v>5.9523809523809521E-2</v>
      </c>
      <c r="R657" s="2">
        <f>IF(Table1[[#This Row],[CHECK2]]=0,NA(),
-(1/Table1[[#This Row],[T]])*LN((Table1[[#This Row],[S0]]-Table1[[#This Row],[C]]+Table1[[#This Row],[P]])/Table1[[#This Row],[K]])
)</f>
        <v>-0.45654027909243849</v>
      </c>
    </row>
    <row r="658" spans="1:18">
      <c r="A658">
        <v>1</v>
      </c>
      <c r="B658" t="s">
        <v>10</v>
      </c>
      <c r="C658" s="1">
        <v>46149</v>
      </c>
      <c r="D658" t="s">
        <v>14</v>
      </c>
      <c r="E658">
        <v>52</v>
      </c>
      <c r="F658" t="s">
        <v>12</v>
      </c>
      <c r="G658" t="s">
        <v>13</v>
      </c>
      <c r="H658" s="1">
        <v>46169</v>
      </c>
      <c r="I658">
        <v>0</v>
      </c>
      <c r="J658">
        <v>1.3</v>
      </c>
      <c r="K658">
        <v>0</v>
      </c>
      <c r="L658">
        <v>25</v>
      </c>
      <c r="M658">
        <v>45.009759887363899</v>
      </c>
      <c r="N658">
        <v>1.93</v>
      </c>
      <c r="O658">
        <f>(Table1[[#This Row],[P]]&lt;&gt;0)*(Table1[[#This Row],[C]]&lt;&gt;0)</f>
        <v>0</v>
      </c>
      <c r="P658">
        <f>NETWORKDAYS(Table1[[#This Row],[ts_event]],Table1[[#This Row],[option_expiry_date]])</f>
        <v>15</v>
      </c>
      <c r="Q658">
        <f>Table1[[#This Row],[Column2]]/252</f>
        <v>5.9523809523809521E-2</v>
      </c>
      <c r="R658" s="2" t="e">
        <f>IF(Table1[[#This Row],[CHECK2]]=0,NA(),
-(1/Table1[[#This Row],[T]])*LN((Table1[[#This Row],[S0]]-Table1[[#This Row],[C]]+Table1[[#This Row],[P]])/Table1[[#This Row],[K]])
)</f>
        <v>#N/A</v>
      </c>
    </row>
    <row r="659" spans="1:18">
      <c r="A659">
        <v>2</v>
      </c>
      <c r="B659" t="s">
        <v>10</v>
      </c>
      <c r="C659" s="1">
        <v>46149</v>
      </c>
      <c r="D659" t="s">
        <v>14</v>
      </c>
      <c r="E659">
        <v>55</v>
      </c>
      <c r="F659" t="s">
        <v>12</v>
      </c>
      <c r="G659" t="s">
        <v>13</v>
      </c>
      <c r="H659" s="1">
        <v>46169</v>
      </c>
      <c r="I659">
        <v>0</v>
      </c>
      <c r="J659">
        <v>0.99096774193548298</v>
      </c>
      <c r="K659">
        <v>0</v>
      </c>
      <c r="L659">
        <v>465</v>
      </c>
      <c r="M659">
        <v>45.009759887363899</v>
      </c>
      <c r="N659">
        <v>1.93</v>
      </c>
      <c r="O659">
        <f>(Table1[[#This Row],[P]]&lt;&gt;0)*(Table1[[#This Row],[C]]&lt;&gt;0)</f>
        <v>0</v>
      </c>
      <c r="P659">
        <f>NETWORKDAYS(Table1[[#This Row],[ts_event]],Table1[[#This Row],[option_expiry_date]])</f>
        <v>15</v>
      </c>
      <c r="Q659">
        <f>Table1[[#This Row],[Column2]]/252</f>
        <v>5.9523809523809521E-2</v>
      </c>
      <c r="R659" s="2" t="e">
        <f>IF(Table1[[#This Row],[CHECK2]]=0,NA(),
-(1/Table1[[#This Row],[T]])*LN((Table1[[#This Row],[S0]]-Table1[[#This Row],[C]]+Table1[[#This Row],[P]])/Table1[[#This Row],[K]])
)</f>
        <v>#N/A</v>
      </c>
    </row>
    <row r="660" spans="1:18">
      <c r="A660">
        <v>1</v>
      </c>
      <c r="B660" t="s">
        <v>10</v>
      </c>
      <c r="C660" s="1">
        <v>46149</v>
      </c>
      <c r="D660" t="s">
        <v>14</v>
      </c>
      <c r="E660">
        <v>60</v>
      </c>
      <c r="F660" t="s">
        <v>12</v>
      </c>
      <c r="G660" t="s">
        <v>13</v>
      </c>
      <c r="H660" s="1">
        <v>46169</v>
      </c>
      <c r="I660">
        <v>0</v>
      </c>
      <c r="J660">
        <v>0.63</v>
      </c>
      <c r="K660">
        <v>0</v>
      </c>
      <c r="L660">
        <v>15</v>
      </c>
      <c r="M660">
        <v>45.009759887363899</v>
      </c>
      <c r="N660">
        <v>1.93</v>
      </c>
      <c r="O660">
        <f>(Table1[[#This Row],[P]]&lt;&gt;0)*(Table1[[#This Row],[C]]&lt;&gt;0)</f>
        <v>0</v>
      </c>
      <c r="P660">
        <f>NETWORKDAYS(Table1[[#This Row],[ts_event]],Table1[[#This Row],[option_expiry_date]])</f>
        <v>15</v>
      </c>
      <c r="Q660">
        <f>Table1[[#This Row],[Column2]]/252</f>
        <v>5.9523809523809521E-2</v>
      </c>
      <c r="R660" s="2" t="e">
        <f>IF(Table1[[#This Row],[CHECK2]]=0,NA(),
-(1/Table1[[#This Row],[T]])*LN((Table1[[#This Row],[S0]]-Table1[[#This Row],[C]]+Table1[[#This Row],[P]])/Table1[[#This Row],[K]])
)</f>
        <v>#N/A</v>
      </c>
    </row>
    <row r="661" spans="1:18">
      <c r="A661">
        <v>2</v>
      </c>
      <c r="B661" t="s">
        <v>10</v>
      </c>
      <c r="C661" s="1">
        <v>46149</v>
      </c>
      <c r="D661" t="s">
        <v>14</v>
      </c>
      <c r="E661">
        <v>65</v>
      </c>
      <c r="F661" t="s">
        <v>12</v>
      </c>
      <c r="G661" t="s">
        <v>13</v>
      </c>
      <c r="H661" s="1">
        <v>46169</v>
      </c>
      <c r="I661">
        <v>0</v>
      </c>
      <c r="J661">
        <v>0.41555555555555501</v>
      </c>
      <c r="K661">
        <v>0</v>
      </c>
      <c r="L661">
        <v>225</v>
      </c>
      <c r="M661">
        <v>45.009759887363899</v>
      </c>
      <c r="N661">
        <v>1.93</v>
      </c>
      <c r="O661">
        <f>(Table1[[#This Row],[P]]&lt;&gt;0)*(Table1[[#This Row],[C]]&lt;&gt;0)</f>
        <v>0</v>
      </c>
      <c r="P661">
        <f>NETWORKDAYS(Table1[[#This Row],[ts_event]],Table1[[#This Row],[option_expiry_date]])</f>
        <v>15</v>
      </c>
      <c r="Q661">
        <f>Table1[[#This Row],[Column2]]/252</f>
        <v>5.9523809523809521E-2</v>
      </c>
      <c r="R661" s="2" t="e">
        <f>IF(Table1[[#This Row],[CHECK2]]=0,NA(),
-(1/Table1[[#This Row],[T]])*LN((Table1[[#This Row],[S0]]-Table1[[#This Row],[C]]+Table1[[#This Row],[P]])/Table1[[#This Row],[K]])
)</f>
        <v>#N/A</v>
      </c>
    </row>
    <row r="662" spans="1:18">
      <c r="A662">
        <v>1</v>
      </c>
      <c r="B662" t="s">
        <v>10</v>
      </c>
      <c r="C662" s="1">
        <v>46149</v>
      </c>
      <c r="D662" t="s">
        <v>14</v>
      </c>
      <c r="E662">
        <v>70</v>
      </c>
      <c r="F662" t="s">
        <v>12</v>
      </c>
      <c r="G662" t="s">
        <v>13</v>
      </c>
      <c r="H662" s="1">
        <v>46169</v>
      </c>
      <c r="I662">
        <v>0</v>
      </c>
      <c r="J662">
        <v>0.35499999999999998</v>
      </c>
      <c r="K662">
        <v>0</v>
      </c>
      <c r="L662">
        <v>590</v>
      </c>
      <c r="M662">
        <v>45.009759887363899</v>
      </c>
      <c r="N662">
        <v>1.93</v>
      </c>
      <c r="O662">
        <f>(Table1[[#This Row],[P]]&lt;&gt;0)*(Table1[[#This Row],[C]]&lt;&gt;0)</f>
        <v>0</v>
      </c>
      <c r="P662">
        <f>NETWORKDAYS(Table1[[#This Row],[ts_event]],Table1[[#This Row],[option_expiry_date]])</f>
        <v>15</v>
      </c>
      <c r="Q662">
        <f>Table1[[#This Row],[Column2]]/252</f>
        <v>5.9523809523809521E-2</v>
      </c>
      <c r="R662" s="2" t="e">
        <f>IF(Table1[[#This Row],[CHECK2]]=0,NA(),
-(1/Table1[[#This Row],[T]])*LN((Table1[[#This Row],[S0]]-Table1[[#This Row],[C]]+Table1[[#This Row],[P]])/Table1[[#This Row],[K]])
)</f>
        <v>#N/A</v>
      </c>
    </row>
    <row r="663" spans="1:18">
      <c r="A663">
        <v>1</v>
      </c>
      <c r="B663" t="s">
        <v>10</v>
      </c>
      <c r="C663" s="1">
        <v>46149</v>
      </c>
      <c r="D663" t="s">
        <v>14</v>
      </c>
      <c r="E663">
        <v>75</v>
      </c>
      <c r="F663" t="s">
        <v>12</v>
      </c>
      <c r="G663" t="s">
        <v>13</v>
      </c>
      <c r="H663" s="1">
        <v>46169</v>
      </c>
      <c r="I663">
        <v>0</v>
      </c>
      <c r="J663">
        <v>0.22500000000000001</v>
      </c>
      <c r="K663">
        <v>0</v>
      </c>
      <c r="L663">
        <v>50</v>
      </c>
      <c r="M663">
        <v>45.009759887363899</v>
      </c>
      <c r="N663">
        <v>1.93</v>
      </c>
      <c r="O663">
        <f>(Table1[[#This Row],[P]]&lt;&gt;0)*(Table1[[#This Row],[C]]&lt;&gt;0)</f>
        <v>0</v>
      </c>
      <c r="P663">
        <f>NETWORKDAYS(Table1[[#This Row],[ts_event]],Table1[[#This Row],[option_expiry_date]])</f>
        <v>15</v>
      </c>
      <c r="Q663">
        <f>Table1[[#This Row],[Column2]]/252</f>
        <v>5.9523809523809521E-2</v>
      </c>
      <c r="R663" s="2" t="e">
        <f>IF(Table1[[#This Row],[CHECK2]]=0,NA(),
-(1/Table1[[#This Row],[T]])*LN((Table1[[#This Row],[S0]]-Table1[[#This Row],[C]]+Table1[[#This Row],[P]])/Table1[[#This Row],[K]])
)</f>
        <v>#N/A</v>
      </c>
    </row>
    <row r="664" spans="1:18">
      <c r="A664">
        <v>1</v>
      </c>
      <c r="B664" t="s">
        <v>10</v>
      </c>
      <c r="C664" s="1">
        <v>46149</v>
      </c>
      <c r="D664" t="s">
        <v>14</v>
      </c>
      <c r="E664">
        <v>85</v>
      </c>
      <c r="F664" t="s">
        <v>12</v>
      </c>
      <c r="G664" t="s">
        <v>13</v>
      </c>
      <c r="H664" s="1">
        <v>46169</v>
      </c>
      <c r="I664">
        <v>0</v>
      </c>
      <c r="J664">
        <v>0.13</v>
      </c>
      <c r="K664">
        <v>0</v>
      </c>
      <c r="L664">
        <v>50</v>
      </c>
      <c r="M664">
        <v>45.009759887363899</v>
      </c>
      <c r="N664">
        <v>1.93</v>
      </c>
      <c r="O664">
        <f>(Table1[[#This Row],[P]]&lt;&gt;0)*(Table1[[#This Row],[C]]&lt;&gt;0)</f>
        <v>0</v>
      </c>
      <c r="P664">
        <f>NETWORKDAYS(Table1[[#This Row],[ts_event]],Table1[[#This Row],[option_expiry_date]])</f>
        <v>15</v>
      </c>
      <c r="Q664">
        <f>Table1[[#This Row],[Column2]]/252</f>
        <v>5.9523809523809521E-2</v>
      </c>
      <c r="R664" s="2" t="e">
        <f>IF(Table1[[#This Row],[CHECK2]]=0,NA(),
-(1/Table1[[#This Row],[T]])*LN((Table1[[#This Row],[S0]]-Table1[[#This Row],[C]]+Table1[[#This Row],[P]])/Table1[[#This Row],[K]])
)</f>
        <v>#N/A</v>
      </c>
    </row>
    <row r="665" spans="1:18">
      <c r="A665">
        <v>1</v>
      </c>
      <c r="B665" t="s">
        <v>10</v>
      </c>
      <c r="C665" s="1">
        <v>46149</v>
      </c>
      <c r="D665" t="s">
        <v>15</v>
      </c>
      <c r="E665">
        <v>24</v>
      </c>
      <c r="F665" t="s">
        <v>12</v>
      </c>
      <c r="G665" t="s">
        <v>13</v>
      </c>
      <c r="H665" s="1">
        <v>46199</v>
      </c>
      <c r="I665">
        <v>0.06</v>
      </c>
      <c r="J665">
        <v>0</v>
      </c>
      <c r="K665">
        <v>200</v>
      </c>
      <c r="L665">
        <v>0</v>
      </c>
      <c r="M665">
        <v>45.45</v>
      </c>
      <c r="N665">
        <v>1.93</v>
      </c>
      <c r="O665">
        <f>(Table1[[#This Row],[P]]&lt;&gt;0)*(Table1[[#This Row],[C]]&lt;&gt;0)</f>
        <v>0</v>
      </c>
      <c r="P665">
        <f>NETWORKDAYS(Table1[[#This Row],[ts_event]],Table1[[#This Row],[option_expiry_date]])</f>
        <v>37</v>
      </c>
      <c r="Q665">
        <f>Table1[[#This Row],[Column2]]/252</f>
        <v>0.14682539682539683</v>
      </c>
      <c r="R665" s="2" t="e">
        <f>IF(Table1[[#This Row],[CHECK2]]=0,NA(),
-(1/Table1[[#This Row],[T]])*LN((Table1[[#This Row],[S0]]-Table1[[#This Row],[C]]+Table1[[#This Row],[P]])/Table1[[#This Row],[K]])
)</f>
        <v>#N/A</v>
      </c>
    </row>
    <row r="666" spans="1:18">
      <c r="A666">
        <v>1</v>
      </c>
      <c r="B666" t="s">
        <v>10</v>
      </c>
      <c r="C666" s="1">
        <v>46149</v>
      </c>
      <c r="D666" t="s">
        <v>15</v>
      </c>
      <c r="E666">
        <v>30</v>
      </c>
      <c r="F666" t="s">
        <v>12</v>
      </c>
      <c r="G666" t="s">
        <v>13</v>
      </c>
      <c r="H666" s="1">
        <v>46199</v>
      </c>
      <c r="I666">
        <v>0.245</v>
      </c>
      <c r="J666">
        <v>0</v>
      </c>
      <c r="K666">
        <v>1750</v>
      </c>
      <c r="L666">
        <v>0</v>
      </c>
      <c r="M666">
        <v>45.45</v>
      </c>
      <c r="N666">
        <v>1.93</v>
      </c>
      <c r="O666">
        <f>(Table1[[#This Row],[P]]&lt;&gt;0)*(Table1[[#This Row],[C]]&lt;&gt;0)</f>
        <v>0</v>
      </c>
      <c r="P666">
        <f>NETWORKDAYS(Table1[[#This Row],[ts_event]],Table1[[#This Row],[option_expiry_date]])</f>
        <v>37</v>
      </c>
      <c r="Q666">
        <f>Table1[[#This Row],[Column2]]/252</f>
        <v>0.14682539682539683</v>
      </c>
      <c r="R666" s="2" t="e">
        <f>IF(Table1[[#This Row],[CHECK2]]=0,NA(),
-(1/Table1[[#This Row],[T]])*LN((Table1[[#This Row],[S0]]-Table1[[#This Row],[C]]+Table1[[#This Row],[P]])/Table1[[#This Row],[K]])
)</f>
        <v>#N/A</v>
      </c>
    </row>
    <row r="667" spans="1:18">
      <c r="A667">
        <v>1</v>
      </c>
      <c r="B667" t="s">
        <v>10</v>
      </c>
      <c r="C667" s="1">
        <v>46149</v>
      </c>
      <c r="D667" t="s">
        <v>15</v>
      </c>
      <c r="E667">
        <v>33</v>
      </c>
      <c r="F667" t="s">
        <v>12</v>
      </c>
      <c r="G667" t="s">
        <v>13</v>
      </c>
      <c r="H667" s="1">
        <v>46199</v>
      </c>
      <c r="I667">
        <v>0.61499999999999999</v>
      </c>
      <c r="J667">
        <v>0</v>
      </c>
      <c r="K667">
        <v>50</v>
      </c>
      <c r="L667">
        <v>0</v>
      </c>
      <c r="M667">
        <v>45.45</v>
      </c>
      <c r="N667">
        <v>1.93</v>
      </c>
      <c r="O667">
        <f>(Table1[[#This Row],[P]]&lt;&gt;0)*(Table1[[#This Row],[C]]&lt;&gt;0)</f>
        <v>0</v>
      </c>
      <c r="P667">
        <f>NETWORKDAYS(Table1[[#This Row],[ts_event]],Table1[[#This Row],[option_expiry_date]])</f>
        <v>37</v>
      </c>
      <c r="Q667">
        <f>Table1[[#This Row],[Column2]]/252</f>
        <v>0.14682539682539683</v>
      </c>
      <c r="R667" s="2" t="e">
        <f>IF(Table1[[#This Row],[CHECK2]]=0,NA(),
-(1/Table1[[#This Row],[T]])*LN((Table1[[#This Row],[S0]]-Table1[[#This Row],[C]]+Table1[[#This Row],[P]])/Table1[[#This Row],[K]])
)</f>
        <v>#N/A</v>
      </c>
    </row>
    <row r="668" spans="1:18">
      <c r="A668">
        <v>2</v>
      </c>
      <c r="B668" t="s">
        <v>10</v>
      </c>
      <c r="C668" s="1">
        <v>46149</v>
      </c>
      <c r="D668" t="s">
        <v>15</v>
      </c>
      <c r="E668">
        <v>35</v>
      </c>
      <c r="F668" t="s">
        <v>12</v>
      </c>
      <c r="G668" t="s">
        <v>13</v>
      </c>
      <c r="H668" s="1">
        <v>46199</v>
      </c>
      <c r="I668">
        <v>0.99001939237233305</v>
      </c>
      <c r="J668">
        <v>0</v>
      </c>
      <c r="K668">
        <v>7735</v>
      </c>
      <c r="L668">
        <v>0</v>
      </c>
      <c r="M668">
        <v>45.45</v>
      </c>
      <c r="N668">
        <v>1.93</v>
      </c>
      <c r="O668">
        <f>(Table1[[#This Row],[P]]&lt;&gt;0)*(Table1[[#This Row],[C]]&lt;&gt;0)</f>
        <v>0</v>
      </c>
      <c r="P668">
        <f>NETWORKDAYS(Table1[[#This Row],[ts_event]],Table1[[#This Row],[option_expiry_date]])</f>
        <v>37</v>
      </c>
      <c r="Q668">
        <f>Table1[[#This Row],[Column2]]/252</f>
        <v>0.14682539682539683</v>
      </c>
      <c r="R668" s="2" t="e">
        <f>IF(Table1[[#This Row],[CHECK2]]=0,NA(),
-(1/Table1[[#This Row],[T]])*LN((Table1[[#This Row],[S0]]-Table1[[#This Row],[C]]+Table1[[#This Row],[P]])/Table1[[#This Row],[K]])
)</f>
        <v>#N/A</v>
      </c>
    </row>
    <row r="669" spans="1:18">
      <c r="A669">
        <v>1</v>
      </c>
      <c r="B669" t="s">
        <v>10</v>
      </c>
      <c r="C669" s="1">
        <v>46149</v>
      </c>
      <c r="D669" t="s">
        <v>15</v>
      </c>
      <c r="E669">
        <v>37</v>
      </c>
      <c r="F669" t="s">
        <v>12</v>
      </c>
      <c r="G669" t="s">
        <v>13</v>
      </c>
      <c r="H669" s="1">
        <v>46199</v>
      </c>
      <c r="I669">
        <v>1.65</v>
      </c>
      <c r="J669">
        <v>0</v>
      </c>
      <c r="K669">
        <v>200</v>
      </c>
      <c r="L669">
        <v>0</v>
      </c>
      <c r="M669">
        <v>45.45</v>
      </c>
      <c r="N669">
        <v>1.93</v>
      </c>
      <c r="O669">
        <f>(Table1[[#This Row],[P]]&lt;&gt;0)*(Table1[[#This Row],[C]]&lt;&gt;0)</f>
        <v>0</v>
      </c>
      <c r="P669">
        <f>NETWORKDAYS(Table1[[#This Row],[ts_event]],Table1[[#This Row],[option_expiry_date]])</f>
        <v>37</v>
      </c>
      <c r="Q669">
        <f>Table1[[#This Row],[Column2]]/252</f>
        <v>0.14682539682539683</v>
      </c>
      <c r="R669" s="2" t="e">
        <f>IF(Table1[[#This Row],[CHECK2]]=0,NA(),
-(1/Table1[[#This Row],[T]])*LN((Table1[[#This Row],[S0]]-Table1[[#This Row],[C]]+Table1[[#This Row],[P]])/Table1[[#This Row],[K]])
)</f>
        <v>#N/A</v>
      </c>
    </row>
    <row r="670" spans="1:18">
      <c r="A670">
        <v>1</v>
      </c>
      <c r="B670" t="s">
        <v>10</v>
      </c>
      <c r="C670" s="1">
        <v>46149</v>
      </c>
      <c r="D670" t="s">
        <v>15</v>
      </c>
      <c r="E670">
        <v>38</v>
      </c>
      <c r="F670" t="s">
        <v>12</v>
      </c>
      <c r="G670" t="s">
        <v>13</v>
      </c>
      <c r="H670" s="1">
        <v>46199</v>
      </c>
      <c r="I670">
        <v>1.9</v>
      </c>
      <c r="J670">
        <v>0</v>
      </c>
      <c r="K670">
        <v>9500</v>
      </c>
      <c r="L670">
        <v>0</v>
      </c>
      <c r="M670">
        <v>45.45</v>
      </c>
      <c r="N670">
        <v>1.93</v>
      </c>
      <c r="O670">
        <f>(Table1[[#This Row],[P]]&lt;&gt;0)*(Table1[[#This Row],[C]]&lt;&gt;0)</f>
        <v>0</v>
      </c>
      <c r="P670">
        <f>NETWORKDAYS(Table1[[#This Row],[ts_event]],Table1[[#This Row],[option_expiry_date]])</f>
        <v>37</v>
      </c>
      <c r="Q670">
        <f>Table1[[#This Row],[Column2]]/252</f>
        <v>0.14682539682539683</v>
      </c>
      <c r="R670" s="2" t="e">
        <f>IF(Table1[[#This Row],[CHECK2]]=0,NA(),
-(1/Table1[[#This Row],[T]])*LN((Table1[[#This Row],[S0]]-Table1[[#This Row],[C]]+Table1[[#This Row],[P]])/Table1[[#This Row],[K]])
)</f>
        <v>#N/A</v>
      </c>
    </row>
    <row r="671" spans="1:18">
      <c r="A671">
        <v>2</v>
      </c>
      <c r="B671" t="s">
        <v>10</v>
      </c>
      <c r="C671" s="1">
        <v>46149</v>
      </c>
      <c r="D671" t="s">
        <v>15</v>
      </c>
      <c r="E671">
        <v>40</v>
      </c>
      <c r="F671" t="s">
        <v>12</v>
      </c>
      <c r="G671" t="s">
        <v>13</v>
      </c>
      <c r="H671" s="1">
        <v>46199</v>
      </c>
      <c r="I671">
        <v>3.0750000000000002</v>
      </c>
      <c r="J671">
        <v>6.45</v>
      </c>
      <c r="K671">
        <v>780</v>
      </c>
      <c r="L671">
        <v>1650</v>
      </c>
      <c r="M671">
        <v>45.45</v>
      </c>
      <c r="N671">
        <v>1.93</v>
      </c>
      <c r="O671">
        <f>(Table1[[#This Row],[P]]&lt;&gt;0)*(Table1[[#This Row],[C]]&lt;&gt;0)</f>
        <v>1</v>
      </c>
      <c r="P671">
        <f>NETWORKDAYS(Table1[[#This Row],[ts_event]],Table1[[#This Row],[option_expiry_date]])</f>
        <v>37</v>
      </c>
      <c r="Q671">
        <f>Table1[[#This Row],[Column2]]/252</f>
        <v>0.14682539682539683</v>
      </c>
      <c r="R671" s="2">
        <f>IF(Table1[[#This Row],[CHECK2]]=0,NA(),
-(1/Table1[[#This Row],[T]])*LN((Table1[[#This Row],[S0]]-Table1[[#This Row],[C]]+Table1[[#This Row],[P]])/Table1[[#This Row],[K]])
)</f>
        <v>-0.34445189358538503</v>
      </c>
    </row>
    <row r="672" spans="1:18">
      <c r="A672">
        <v>1</v>
      </c>
      <c r="B672" t="s">
        <v>10</v>
      </c>
      <c r="C672" s="1">
        <v>46149</v>
      </c>
      <c r="D672" t="s">
        <v>15</v>
      </c>
      <c r="E672">
        <v>43</v>
      </c>
      <c r="F672" t="s">
        <v>12</v>
      </c>
      <c r="G672" t="s">
        <v>13</v>
      </c>
      <c r="H672" s="1">
        <v>46199</v>
      </c>
      <c r="I672">
        <v>4.5</v>
      </c>
      <c r="J672">
        <v>0</v>
      </c>
      <c r="K672">
        <v>100</v>
      </c>
      <c r="L672">
        <v>0</v>
      </c>
      <c r="M672">
        <v>45.45</v>
      </c>
      <c r="N672">
        <v>1.93</v>
      </c>
      <c r="O672">
        <f>(Table1[[#This Row],[P]]&lt;&gt;0)*(Table1[[#This Row],[C]]&lt;&gt;0)</f>
        <v>0</v>
      </c>
      <c r="P672">
        <f>NETWORKDAYS(Table1[[#This Row],[ts_event]],Table1[[#This Row],[option_expiry_date]])</f>
        <v>37</v>
      </c>
      <c r="Q672">
        <f>Table1[[#This Row],[Column2]]/252</f>
        <v>0.14682539682539683</v>
      </c>
      <c r="R672" s="2" t="e">
        <f>IF(Table1[[#This Row],[CHECK2]]=0,NA(),
-(1/Table1[[#This Row],[T]])*LN((Table1[[#This Row],[S0]]-Table1[[#This Row],[C]]+Table1[[#This Row],[P]])/Table1[[#This Row],[K]])
)</f>
        <v>#N/A</v>
      </c>
    </row>
    <row r="673" spans="1:18">
      <c r="A673">
        <v>1</v>
      </c>
      <c r="B673" t="s">
        <v>10</v>
      </c>
      <c r="C673" s="1">
        <v>46149</v>
      </c>
      <c r="D673" t="s">
        <v>15</v>
      </c>
      <c r="E673">
        <v>44</v>
      </c>
      <c r="F673" t="s">
        <v>12</v>
      </c>
      <c r="G673" t="s">
        <v>13</v>
      </c>
      <c r="H673" s="1">
        <v>46199</v>
      </c>
      <c r="I673">
        <v>5.3250000000000002</v>
      </c>
      <c r="J673">
        <v>0</v>
      </c>
      <c r="K673">
        <v>100</v>
      </c>
      <c r="L673">
        <v>0</v>
      </c>
      <c r="M673">
        <v>45.45</v>
      </c>
      <c r="N673">
        <v>1.93</v>
      </c>
      <c r="O673">
        <f>(Table1[[#This Row],[P]]&lt;&gt;0)*(Table1[[#This Row],[C]]&lt;&gt;0)</f>
        <v>0</v>
      </c>
      <c r="P673">
        <f>NETWORKDAYS(Table1[[#This Row],[ts_event]],Table1[[#This Row],[option_expiry_date]])</f>
        <v>37</v>
      </c>
      <c r="Q673">
        <f>Table1[[#This Row],[Column2]]/252</f>
        <v>0.14682539682539683</v>
      </c>
      <c r="R673" s="2" t="e">
        <f>IF(Table1[[#This Row],[CHECK2]]=0,NA(),
-(1/Table1[[#This Row],[T]])*LN((Table1[[#This Row],[S0]]-Table1[[#This Row],[C]]+Table1[[#This Row],[P]])/Table1[[#This Row],[K]])
)</f>
        <v>#N/A</v>
      </c>
    </row>
    <row r="674" spans="1:18">
      <c r="A674">
        <v>2</v>
      </c>
      <c r="B674" t="s">
        <v>10</v>
      </c>
      <c r="C674" s="1">
        <v>46149</v>
      </c>
      <c r="D674" t="s">
        <v>15</v>
      </c>
      <c r="E674">
        <v>45</v>
      </c>
      <c r="F674" t="s">
        <v>12</v>
      </c>
      <c r="G674" t="s">
        <v>13</v>
      </c>
      <c r="H674" s="1">
        <v>46199</v>
      </c>
      <c r="I674">
        <v>6.1</v>
      </c>
      <c r="J674">
        <v>4.55</v>
      </c>
      <c r="K674">
        <v>3100</v>
      </c>
      <c r="L674">
        <v>2600</v>
      </c>
      <c r="M674">
        <v>45.45</v>
      </c>
      <c r="N674">
        <v>1.93</v>
      </c>
      <c r="O674">
        <f>(Table1[[#This Row],[P]]&lt;&gt;0)*(Table1[[#This Row],[C]]&lt;&gt;0)</f>
        <v>1</v>
      </c>
      <c r="P674">
        <f>NETWORKDAYS(Table1[[#This Row],[ts_event]],Table1[[#This Row],[option_expiry_date]])</f>
        <v>37</v>
      </c>
      <c r="Q674">
        <f>Table1[[#This Row],[Column2]]/252</f>
        <v>0.14682539682539683</v>
      </c>
      <c r="R674" s="2">
        <f>IF(Table1[[#This Row],[CHECK2]]=0,NA(),
-(1/Table1[[#This Row],[T]])*LN((Table1[[#This Row],[S0]]-Table1[[#This Row],[C]]+Table1[[#This Row],[P]])/Table1[[#This Row],[K]])
)</f>
        <v>-0.29616887050849189</v>
      </c>
    </row>
    <row r="675" spans="1:18">
      <c r="A675">
        <v>1</v>
      </c>
      <c r="B675" t="s">
        <v>10</v>
      </c>
      <c r="C675" s="1">
        <v>46149</v>
      </c>
      <c r="D675" t="s">
        <v>15</v>
      </c>
      <c r="E675">
        <v>47</v>
      </c>
      <c r="F675" t="s">
        <v>12</v>
      </c>
      <c r="G675" t="s">
        <v>13</v>
      </c>
      <c r="H675" s="1">
        <v>46199</v>
      </c>
      <c r="I675">
        <v>0</v>
      </c>
      <c r="J675">
        <v>4.0750000000000002</v>
      </c>
      <c r="K675">
        <v>0</v>
      </c>
      <c r="L675">
        <v>175</v>
      </c>
      <c r="M675">
        <v>45.45</v>
      </c>
      <c r="N675">
        <v>1.93</v>
      </c>
      <c r="O675">
        <f>(Table1[[#This Row],[P]]&lt;&gt;0)*(Table1[[#This Row],[C]]&lt;&gt;0)</f>
        <v>0</v>
      </c>
      <c r="P675">
        <f>NETWORKDAYS(Table1[[#This Row],[ts_event]],Table1[[#This Row],[option_expiry_date]])</f>
        <v>37</v>
      </c>
      <c r="Q675">
        <f>Table1[[#This Row],[Column2]]/252</f>
        <v>0.14682539682539683</v>
      </c>
      <c r="R675" s="2" t="e">
        <f>IF(Table1[[#This Row],[CHECK2]]=0,NA(),
-(1/Table1[[#This Row],[T]])*LN((Table1[[#This Row],[S0]]-Table1[[#This Row],[C]]+Table1[[#This Row],[P]])/Table1[[#This Row],[K]])
)</f>
        <v>#N/A</v>
      </c>
    </row>
    <row r="676" spans="1:18">
      <c r="A676">
        <v>1</v>
      </c>
      <c r="B676" t="s">
        <v>10</v>
      </c>
      <c r="C676" s="1">
        <v>46149</v>
      </c>
      <c r="D676" t="s">
        <v>15</v>
      </c>
      <c r="E676">
        <v>50</v>
      </c>
      <c r="F676" t="s">
        <v>12</v>
      </c>
      <c r="G676" t="s">
        <v>13</v>
      </c>
      <c r="H676" s="1">
        <v>46199</v>
      </c>
      <c r="I676">
        <v>0</v>
      </c>
      <c r="J676">
        <v>3.3</v>
      </c>
      <c r="K676">
        <v>0</v>
      </c>
      <c r="L676">
        <v>2700</v>
      </c>
      <c r="M676">
        <v>45.45</v>
      </c>
      <c r="N676">
        <v>1.93</v>
      </c>
      <c r="O676">
        <f>(Table1[[#This Row],[P]]&lt;&gt;0)*(Table1[[#This Row],[C]]&lt;&gt;0)</f>
        <v>0</v>
      </c>
      <c r="P676">
        <f>NETWORKDAYS(Table1[[#This Row],[ts_event]],Table1[[#This Row],[option_expiry_date]])</f>
        <v>37</v>
      </c>
      <c r="Q676">
        <f>Table1[[#This Row],[Column2]]/252</f>
        <v>0.14682539682539683</v>
      </c>
      <c r="R676" s="2" t="e">
        <f>IF(Table1[[#This Row],[CHECK2]]=0,NA(),
-(1/Table1[[#This Row],[T]])*LN((Table1[[#This Row],[S0]]-Table1[[#This Row],[C]]+Table1[[#This Row],[P]])/Table1[[#This Row],[K]])
)</f>
        <v>#N/A</v>
      </c>
    </row>
    <row r="677" spans="1:18">
      <c r="A677">
        <v>1</v>
      </c>
      <c r="B677" t="s">
        <v>10</v>
      </c>
      <c r="C677" s="1">
        <v>46149</v>
      </c>
      <c r="D677" t="s">
        <v>15</v>
      </c>
      <c r="E677">
        <v>55</v>
      </c>
      <c r="F677" t="s">
        <v>12</v>
      </c>
      <c r="G677" t="s">
        <v>13</v>
      </c>
      <c r="H677" s="1">
        <v>46199</v>
      </c>
      <c r="I677">
        <v>0</v>
      </c>
      <c r="J677">
        <v>2.4700000000000002</v>
      </c>
      <c r="K677">
        <v>0</v>
      </c>
      <c r="L677">
        <v>2900</v>
      </c>
      <c r="M677">
        <v>45.45</v>
      </c>
      <c r="N677">
        <v>1.93</v>
      </c>
      <c r="O677">
        <f>(Table1[[#This Row],[P]]&lt;&gt;0)*(Table1[[#This Row],[C]]&lt;&gt;0)</f>
        <v>0</v>
      </c>
      <c r="P677">
        <f>NETWORKDAYS(Table1[[#This Row],[ts_event]],Table1[[#This Row],[option_expiry_date]])</f>
        <v>37</v>
      </c>
      <c r="Q677">
        <f>Table1[[#This Row],[Column2]]/252</f>
        <v>0.14682539682539683</v>
      </c>
      <c r="R677" s="2" t="e">
        <f>IF(Table1[[#This Row],[CHECK2]]=0,NA(),
-(1/Table1[[#This Row],[T]])*LN((Table1[[#This Row],[S0]]-Table1[[#This Row],[C]]+Table1[[#This Row],[P]])/Table1[[#This Row],[K]])
)</f>
        <v>#N/A</v>
      </c>
    </row>
    <row r="678" spans="1:18">
      <c r="A678">
        <v>2</v>
      </c>
      <c r="B678" t="s">
        <v>10</v>
      </c>
      <c r="C678" s="1">
        <v>46149</v>
      </c>
      <c r="D678" t="s">
        <v>15</v>
      </c>
      <c r="E678">
        <v>60</v>
      </c>
      <c r="F678" t="s">
        <v>12</v>
      </c>
      <c r="G678" t="s">
        <v>13</v>
      </c>
      <c r="H678" s="1">
        <v>46199</v>
      </c>
      <c r="I678">
        <v>0</v>
      </c>
      <c r="J678">
        <v>1.85164835164835</v>
      </c>
      <c r="K678">
        <v>0</v>
      </c>
      <c r="L678">
        <v>1820</v>
      </c>
      <c r="M678">
        <v>45.45</v>
      </c>
      <c r="N678">
        <v>1.93</v>
      </c>
      <c r="O678">
        <f>(Table1[[#This Row],[P]]&lt;&gt;0)*(Table1[[#This Row],[C]]&lt;&gt;0)</f>
        <v>0</v>
      </c>
      <c r="P678">
        <f>NETWORKDAYS(Table1[[#This Row],[ts_event]],Table1[[#This Row],[option_expiry_date]])</f>
        <v>37</v>
      </c>
      <c r="Q678">
        <f>Table1[[#This Row],[Column2]]/252</f>
        <v>0.14682539682539683</v>
      </c>
      <c r="R678" s="2" t="e">
        <f>IF(Table1[[#This Row],[CHECK2]]=0,NA(),
-(1/Table1[[#This Row],[T]])*LN((Table1[[#This Row],[S0]]-Table1[[#This Row],[C]]+Table1[[#This Row],[P]])/Table1[[#This Row],[K]])
)</f>
        <v>#N/A</v>
      </c>
    </row>
    <row r="679" spans="1:18">
      <c r="A679">
        <v>2</v>
      </c>
      <c r="B679" t="s">
        <v>10</v>
      </c>
      <c r="C679" s="1">
        <v>46149</v>
      </c>
      <c r="D679" t="s">
        <v>15</v>
      </c>
      <c r="E679">
        <v>65</v>
      </c>
      <c r="F679" t="s">
        <v>12</v>
      </c>
      <c r="G679" t="s">
        <v>13</v>
      </c>
      <c r="H679" s="1">
        <v>46199</v>
      </c>
      <c r="I679">
        <v>0</v>
      </c>
      <c r="J679">
        <v>1.45337837837837</v>
      </c>
      <c r="K679">
        <v>0</v>
      </c>
      <c r="L679">
        <v>740</v>
      </c>
      <c r="M679">
        <v>45.45</v>
      </c>
      <c r="N679">
        <v>1.93</v>
      </c>
      <c r="O679">
        <f>(Table1[[#This Row],[P]]&lt;&gt;0)*(Table1[[#This Row],[C]]&lt;&gt;0)</f>
        <v>0</v>
      </c>
      <c r="P679">
        <f>NETWORKDAYS(Table1[[#This Row],[ts_event]],Table1[[#This Row],[option_expiry_date]])</f>
        <v>37</v>
      </c>
      <c r="Q679">
        <f>Table1[[#This Row],[Column2]]/252</f>
        <v>0.14682539682539683</v>
      </c>
      <c r="R679" s="2" t="e">
        <f>IF(Table1[[#This Row],[CHECK2]]=0,NA(),
-(1/Table1[[#This Row],[T]])*LN((Table1[[#This Row],[S0]]-Table1[[#This Row],[C]]+Table1[[#This Row],[P]])/Table1[[#This Row],[K]])
)</f>
        <v>#N/A</v>
      </c>
    </row>
    <row r="680" spans="1:18">
      <c r="A680">
        <v>1</v>
      </c>
      <c r="B680" t="s">
        <v>10</v>
      </c>
      <c r="C680" s="1">
        <v>46149</v>
      </c>
      <c r="D680" t="s">
        <v>15</v>
      </c>
      <c r="E680">
        <v>70</v>
      </c>
      <c r="F680" t="s">
        <v>12</v>
      </c>
      <c r="G680" t="s">
        <v>13</v>
      </c>
      <c r="H680" s="1">
        <v>46199</v>
      </c>
      <c r="I680">
        <v>0</v>
      </c>
      <c r="J680">
        <v>1.115</v>
      </c>
      <c r="K680">
        <v>0</v>
      </c>
      <c r="L680">
        <v>515</v>
      </c>
      <c r="M680">
        <v>45.45</v>
      </c>
      <c r="N680">
        <v>1.93</v>
      </c>
      <c r="O680">
        <f>(Table1[[#This Row],[P]]&lt;&gt;0)*(Table1[[#This Row],[C]]&lt;&gt;0)</f>
        <v>0</v>
      </c>
      <c r="P680">
        <f>NETWORKDAYS(Table1[[#This Row],[ts_event]],Table1[[#This Row],[option_expiry_date]])</f>
        <v>37</v>
      </c>
      <c r="Q680">
        <f>Table1[[#This Row],[Column2]]/252</f>
        <v>0.14682539682539683</v>
      </c>
      <c r="R680" s="2" t="e">
        <f>IF(Table1[[#This Row],[CHECK2]]=0,NA(),
-(1/Table1[[#This Row],[T]])*LN((Table1[[#This Row],[S0]]-Table1[[#This Row],[C]]+Table1[[#This Row],[P]])/Table1[[#This Row],[K]])
)</f>
        <v>#N/A</v>
      </c>
    </row>
    <row r="681" spans="1:18">
      <c r="A681">
        <v>1</v>
      </c>
      <c r="B681" t="s">
        <v>10</v>
      </c>
      <c r="C681" s="1">
        <v>46149</v>
      </c>
      <c r="D681" t="s">
        <v>16</v>
      </c>
      <c r="E681">
        <v>45</v>
      </c>
      <c r="F681" t="s">
        <v>12</v>
      </c>
      <c r="G681" t="s">
        <v>13</v>
      </c>
      <c r="H681" s="1">
        <v>46230</v>
      </c>
      <c r="I681">
        <v>0</v>
      </c>
      <c r="J681">
        <v>5.59</v>
      </c>
      <c r="K681">
        <v>0</v>
      </c>
      <c r="L681">
        <v>350</v>
      </c>
      <c r="M681">
        <v>45.3050906478001</v>
      </c>
      <c r="N681">
        <v>1.93</v>
      </c>
      <c r="O681">
        <f>(Table1[[#This Row],[P]]&lt;&gt;0)*(Table1[[#This Row],[C]]&lt;&gt;0)</f>
        <v>0</v>
      </c>
      <c r="P681">
        <f>NETWORKDAYS(Table1[[#This Row],[ts_event]],Table1[[#This Row],[option_expiry_date]])</f>
        <v>58</v>
      </c>
      <c r="Q681">
        <f>Table1[[#This Row],[Column2]]/252</f>
        <v>0.23015873015873015</v>
      </c>
      <c r="R681" s="2" t="e">
        <f>IF(Table1[[#This Row],[CHECK2]]=0,NA(),
-(1/Table1[[#This Row],[T]])*LN((Table1[[#This Row],[S0]]-Table1[[#This Row],[C]]+Table1[[#This Row],[P]])/Table1[[#This Row],[K]])
)</f>
        <v>#N/A</v>
      </c>
    </row>
    <row r="682" spans="1:18">
      <c r="A682">
        <v>1</v>
      </c>
      <c r="B682" t="s">
        <v>10</v>
      </c>
      <c r="C682" s="1">
        <v>46149</v>
      </c>
      <c r="D682" t="s">
        <v>16</v>
      </c>
      <c r="E682">
        <v>60</v>
      </c>
      <c r="F682" t="s">
        <v>12</v>
      </c>
      <c r="G682" t="s">
        <v>13</v>
      </c>
      <c r="H682" s="1">
        <v>46230</v>
      </c>
      <c r="I682">
        <v>0</v>
      </c>
      <c r="J682">
        <v>2.9249999999999998</v>
      </c>
      <c r="K682">
        <v>0</v>
      </c>
      <c r="L682">
        <v>550</v>
      </c>
      <c r="M682">
        <v>45.3050906478001</v>
      </c>
      <c r="N682">
        <v>1.93</v>
      </c>
      <c r="O682">
        <f>(Table1[[#This Row],[P]]&lt;&gt;0)*(Table1[[#This Row],[C]]&lt;&gt;0)</f>
        <v>0</v>
      </c>
      <c r="P682">
        <f>NETWORKDAYS(Table1[[#This Row],[ts_event]],Table1[[#This Row],[option_expiry_date]])</f>
        <v>58</v>
      </c>
      <c r="Q682">
        <f>Table1[[#This Row],[Column2]]/252</f>
        <v>0.23015873015873015</v>
      </c>
      <c r="R682" s="2" t="e">
        <f>IF(Table1[[#This Row],[CHECK2]]=0,NA(),
-(1/Table1[[#This Row],[T]])*LN((Table1[[#This Row],[S0]]-Table1[[#This Row],[C]]+Table1[[#This Row],[P]])/Table1[[#This Row],[K]])
)</f>
        <v>#N/A</v>
      </c>
    </row>
    <row r="683" spans="1:18">
      <c r="A683">
        <v>1</v>
      </c>
      <c r="B683" t="s">
        <v>10</v>
      </c>
      <c r="C683" s="1">
        <v>46149</v>
      </c>
      <c r="D683" t="s">
        <v>17</v>
      </c>
      <c r="E683">
        <v>38</v>
      </c>
      <c r="F683" t="s">
        <v>12</v>
      </c>
      <c r="G683" t="s">
        <v>13</v>
      </c>
      <c r="H683" s="1">
        <v>46260</v>
      </c>
      <c r="I683">
        <v>3.52</v>
      </c>
      <c r="J683">
        <v>0</v>
      </c>
      <c r="K683">
        <v>20</v>
      </c>
      <c r="L683">
        <v>0</v>
      </c>
      <c r="M683">
        <v>45.151622001296701</v>
      </c>
      <c r="N683">
        <v>1.93</v>
      </c>
      <c r="O683">
        <f>(Table1[[#This Row],[P]]&lt;&gt;0)*(Table1[[#This Row],[C]]&lt;&gt;0)</f>
        <v>0</v>
      </c>
      <c r="P683">
        <f>NETWORKDAYS(Table1[[#This Row],[ts_event]],Table1[[#This Row],[option_expiry_date]])</f>
        <v>80</v>
      </c>
      <c r="Q683">
        <f>Table1[[#This Row],[Column2]]/252</f>
        <v>0.31746031746031744</v>
      </c>
      <c r="R683" s="2" t="e">
        <f>IF(Table1[[#This Row],[CHECK2]]=0,NA(),
-(1/Table1[[#This Row],[T]])*LN((Table1[[#This Row],[S0]]-Table1[[#This Row],[C]]+Table1[[#This Row],[P]])/Table1[[#This Row],[K]])
)</f>
        <v>#N/A</v>
      </c>
    </row>
    <row r="684" spans="1:18">
      <c r="A684">
        <v>1</v>
      </c>
      <c r="B684" t="s">
        <v>10</v>
      </c>
      <c r="C684" s="1">
        <v>46149</v>
      </c>
      <c r="D684" t="s">
        <v>17</v>
      </c>
      <c r="E684">
        <v>45</v>
      </c>
      <c r="F684" t="s">
        <v>12</v>
      </c>
      <c r="G684" t="s">
        <v>13</v>
      </c>
      <c r="H684" s="1">
        <v>46260</v>
      </c>
      <c r="I684">
        <v>0</v>
      </c>
      <c r="J684">
        <v>6.34</v>
      </c>
      <c r="K684">
        <v>0</v>
      </c>
      <c r="L684">
        <v>350</v>
      </c>
      <c r="M684">
        <v>45.151622001296701</v>
      </c>
      <c r="N684">
        <v>1.93</v>
      </c>
      <c r="O684">
        <f>(Table1[[#This Row],[P]]&lt;&gt;0)*(Table1[[#This Row],[C]]&lt;&gt;0)</f>
        <v>0</v>
      </c>
      <c r="P684">
        <f>NETWORKDAYS(Table1[[#This Row],[ts_event]],Table1[[#This Row],[option_expiry_date]])</f>
        <v>80</v>
      </c>
      <c r="Q684">
        <f>Table1[[#This Row],[Column2]]/252</f>
        <v>0.31746031746031744</v>
      </c>
      <c r="R684" s="2" t="e">
        <f>IF(Table1[[#This Row],[CHECK2]]=0,NA(),
-(1/Table1[[#This Row],[T]])*LN((Table1[[#This Row],[S0]]-Table1[[#This Row],[C]]+Table1[[#This Row],[P]])/Table1[[#This Row],[K]])
)</f>
        <v>#N/A</v>
      </c>
    </row>
    <row r="685" spans="1:18">
      <c r="A685">
        <v>1</v>
      </c>
      <c r="B685" t="s">
        <v>10</v>
      </c>
      <c r="C685" s="1">
        <v>46149</v>
      </c>
      <c r="D685" t="s">
        <v>17</v>
      </c>
      <c r="E685">
        <v>65</v>
      </c>
      <c r="F685" t="s">
        <v>12</v>
      </c>
      <c r="G685" t="s">
        <v>13</v>
      </c>
      <c r="H685" s="1">
        <v>46260</v>
      </c>
      <c r="I685">
        <v>0</v>
      </c>
      <c r="J685">
        <v>3.07</v>
      </c>
      <c r="K685">
        <v>0</v>
      </c>
      <c r="L685">
        <v>550</v>
      </c>
      <c r="M685">
        <v>45.151622001296701</v>
      </c>
      <c r="N685">
        <v>1.93</v>
      </c>
      <c r="O685">
        <f>(Table1[[#This Row],[P]]&lt;&gt;0)*(Table1[[#This Row],[C]]&lt;&gt;0)</f>
        <v>0</v>
      </c>
      <c r="P685">
        <f>NETWORKDAYS(Table1[[#This Row],[ts_event]],Table1[[#This Row],[option_expiry_date]])</f>
        <v>80</v>
      </c>
      <c r="Q685">
        <f>Table1[[#This Row],[Column2]]/252</f>
        <v>0.31746031746031744</v>
      </c>
      <c r="R685" s="2" t="e">
        <f>IF(Table1[[#This Row],[CHECK2]]=0,NA(),
-(1/Table1[[#This Row],[T]])*LN((Table1[[#This Row],[S0]]-Table1[[#This Row],[C]]+Table1[[#This Row],[P]])/Table1[[#This Row],[K]])
)</f>
        <v>#N/A</v>
      </c>
    </row>
    <row r="686" spans="1:18">
      <c r="A686">
        <v>1</v>
      </c>
      <c r="B686" t="s">
        <v>10</v>
      </c>
      <c r="C686" s="1">
        <v>46149</v>
      </c>
      <c r="D686" t="s">
        <v>18</v>
      </c>
      <c r="E686">
        <v>44</v>
      </c>
      <c r="F686" t="s">
        <v>12</v>
      </c>
      <c r="G686" t="s">
        <v>13</v>
      </c>
      <c r="H686" s="1">
        <v>46290</v>
      </c>
      <c r="I686">
        <v>0</v>
      </c>
      <c r="J686">
        <v>7.3</v>
      </c>
      <c r="K686">
        <v>0</v>
      </c>
      <c r="L686">
        <v>350</v>
      </c>
      <c r="M686">
        <v>44.991512903819</v>
      </c>
      <c r="N686">
        <v>1.93</v>
      </c>
      <c r="O686">
        <f>(Table1[[#This Row],[P]]&lt;&gt;0)*(Table1[[#This Row],[C]]&lt;&gt;0)</f>
        <v>0</v>
      </c>
      <c r="P686">
        <f>NETWORKDAYS(Table1[[#This Row],[ts_event]],Table1[[#This Row],[option_expiry_date]])</f>
        <v>102</v>
      </c>
      <c r="Q686">
        <f>Table1[[#This Row],[Column2]]/252</f>
        <v>0.40476190476190477</v>
      </c>
      <c r="R686" s="2" t="e">
        <f>IF(Table1[[#This Row],[CHECK2]]=0,NA(),
-(1/Table1[[#This Row],[T]])*LN((Table1[[#This Row],[S0]]-Table1[[#This Row],[C]]+Table1[[#This Row],[P]])/Table1[[#This Row],[K]])
)</f>
        <v>#N/A</v>
      </c>
    </row>
    <row r="687" spans="1:18">
      <c r="A687">
        <v>1</v>
      </c>
      <c r="B687" t="s">
        <v>10</v>
      </c>
      <c r="C687" s="1">
        <v>46149</v>
      </c>
      <c r="D687" t="s">
        <v>18</v>
      </c>
      <c r="E687">
        <v>50</v>
      </c>
      <c r="F687" t="s">
        <v>12</v>
      </c>
      <c r="G687" t="s">
        <v>13</v>
      </c>
      <c r="H687" s="1">
        <v>46290</v>
      </c>
      <c r="I687">
        <v>0</v>
      </c>
      <c r="J687">
        <v>5.3150000000000004</v>
      </c>
      <c r="K687">
        <v>0</v>
      </c>
      <c r="L687">
        <v>180</v>
      </c>
      <c r="M687">
        <v>44.991512903819</v>
      </c>
      <c r="N687">
        <v>1.93</v>
      </c>
      <c r="O687">
        <f>(Table1[[#This Row],[P]]&lt;&gt;0)*(Table1[[#This Row],[C]]&lt;&gt;0)</f>
        <v>0</v>
      </c>
      <c r="P687">
        <f>NETWORKDAYS(Table1[[#This Row],[ts_event]],Table1[[#This Row],[option_expiry_date]])</f>
        <v>102</v>
      </c>
      <c r="Q687">
        <f>Table1[[#This Row],[Column2]]/252</f>
        <v>0.40476190476190477</v>
      </c>
      <c r="R687" s="2" t="e">
        <f>IF(Table1[[#This Row],[CHECK2]]=0,NA(),
-(1/Table1[[#This Row],[T]])*LN((Table1[[#This Row],[S0]]-Table1[[#This Row],[C]]+Table1[[#This Row],[P]])/Table1[[#This Row],[K]])
)</f>
        <v>#N/A</v>
      </c>
    </row>
    <row r="688" spans="1:18">
      <c r="A688">
        <v>1</v>
      </c>
      <c r="B688" t="s">
        <v>10</v>
      </c>
      <c r="C688" s="1">
        <v>46149</v>
      </c>
      <c r="D688" t="s">
        <v>18</v>
      </c>
      <c r="E688">
        <v>55</v>
      </c>
      <c r="F688" t="s">
        <v>12</v>
      </c>
      <c r="G688" t="s">
        <v>13</v>
      </c>
      <c r="H688" s="1">
        <v>46290</v>
      </c>
      <c r="I688">
        <v>0</v>
      </c>
      <c r="J688">
        <v>4.4000000000000004</v>
      </c>
      <c r="K688">
        <v>0</v>
      </c>
      <c r="L688">
        <v>100</v>
      </c>
      <c r="M688">
        <v>44.991512903819</v>
      </c>
      <c r="N688">
        <v>1.93</v>
      </c>
      <c r="O688">
        <f>(Table1[[#This Row],[P]]&lt;&gt;0)*(Table1[[#This Row],[C]]&lt;&gt;0)</f>
        <v>0</v>
      </c>
      <c r="P688">
        <f>NETWORKDAYS(Table1[[#This Row],[ts_event]],Table1[[#This Row],[option_expiry_date]])</f>
        <v>102</v>
      </c>
      <c r="Q688">
        <f>Table1[[#This Row],[Column2]]/252</f>
        <v>0.40476190476190477</v>
      </c>
      <c r="R688" s="2" t="e">
        <f>IF(Table1[[#This Row],[CHECK2]]=0,NA(),
-(1/Table1[[#This Row],[T]])*LN((Table1[[#This Row],[S0]]-Table1[[#This Row],[C]]+Table1[[#This Row],[P]])/Table1[[#This Row],[K]])
)</f>
        <v>#N/A</v>
      </c>
    </row>
    <row r="689" spans="1:18">
      <c r="A689">
        <v>1</v>
      </c>
      <c r="B689" t="s">
        <v>10</v>
      </c>
      <c r="C689" s="1">
        <v>46149</v>
      </c>
      <c r="D689" t="s">
        <v>18</v>
      </c>
      <c r="E689">
        <v>70</v>
      </c>
      <c r="F689" t="s">
        <v>12</v>
      </c>
      <c r="G689" t="s">
        <v>13</v>
      </c>
      <c r="H689" s="1">
        <v>46290</v>
      </c>
      <c r="I689">
        <v>0</v>
      </c>
      <c r="J689">
        <v>3</v>
      </c>
      <c r="K689">
        <v>0</v>
      </c>
      <c r="L689">
        <v>80</v>
      </c>
      <c r="M689">
        <v>44.991512903819</v>
      </c>
      <c r="N689">
        <v>1.93</v>
      </c>
      <c r="O689">
        <f>(Table1[[#This Row],[P]]&lt;&gt;0)*(Table1[[#This Row],[C]]&lt;&gt;0)</f>
        <v>0</v>
      </c>
      <c r="P689">
        <f>NETWORKDAYS(Table1[[#This Row],[ts_event]],Table1[[#This Row],[option_expiry_date]])</f>
        <v>102</v>
      </c>
      <c r="Q689">
        <f>Table1[[#This Row],[Column2]]/252</f>
        <v>0.40476190476190477</v>
      </c>
      <c r="R689" s="2" t="e">
        <f>IF(Table1[[#This Row],[CHECK2]]=0,NA(),
-(1/Table1[[#This Row],[T]])*LN((Table1[[#This Row],[S0]]-Table1[[#This Row],[C]]+Table1[[#This Row],[P]])/Table1[[#This Row],[K]])
)</f>
        <v>#N/A</v>
      </c>
    </row>
    <row r="690" spans="1:18">
      <c r="A690">
        <v>1</v>
      </c>
      <c r="B690" t="s">
        <v>10</v>
      </c>
      <c r="C690" s="1">
        <v>46149</v>
      </c>
      <c r="D690" t="s">
        <v>18</v>
      </c>
      <c r="E690">
        <v>75</v>
      </c>
      <c r="F690" t="s">
        <v>12</v>
      </c>
      <c r="G690" t="s">
        <v>13</v>
      </c>
      <c r="H690" s="1">
        <v>46290</v>
      </c>
      <c r="I690">
        <v>0</v>
      </c>
      <c r="J690">
        <v>2.625</v>
      </c>
      <c r="K690">
        <v>0</v>
      </c>
      <c r="L690">
        <v>80</v>
      </c>
      <c r="M690">
        <v>44.991512903819</v>
      </c>
      <c r="N690">
        <v>1.93</v>
      </c>
      <c r="O690">
        <f>(Table1[[#This Row],[P]]&lt;&gt;0)*(Table1[[#This Row],[C]]&lt;&gt;0)</f>
        <v>0</v>
      </c>
      <c r="P690">
        <f>NETWORKDAYS(Table1[[#This Row],[ts_event]],Table1[[#This Row],[option_expiry_date]])</f>
        <v>102</v>
      </c>
      <c r="Q690">
        <f>Table1[[#This Row],[Column2]]/252</f>
        <v>0.40476190476190477</v>
      </c>
      <c r="R690" s="2" t="e">
        <f>IF(Table1[[#This Row],[CHECK2]]=0,NA(),
-(1/Table1[[#This Row],[T]])*LN((Table1[[#This Row],[S0]]-Table1[[#This Row],[C]]+Table1[[#This Row],[P]])/Table1[[#This Row],[K]])
)</f>
        <v>#N/A</v>
      </c>
    </row>
    <row r="691" spans="1:18">
      <c r="A691">
        <v>1</v>
      </c>
      <c r="B691" t="s">
        <v>10</v>
      </c>
      <c r="C691" s="1">
        <v>46150</v>
      </c>
      <c r="D691" t="s">
        <v>14</v>
      </c>
      <c r="E691">
        <v>33</v>
      </c>
      <c r="F691" t="s">
        <v>12</v>
      </c>
      <c r="G691" t="s">
        <v>13</v>
      </c>
      <c r="H691" s="1">
        <v>46169</v>
      </c>
      <c r="I691">
        <v>0.15</v>
      </c>
      <c r="J691">
        <v>0</v>
      </c>
      <c r="K691">
        <v>1200</v>
      </c>
      <c r="L691">
        <v>0</v>
      </c>
      <c r="M691">
        <v>43.710839571992601</v>
      </c>
      <c r="N691">
        <v>1.929</v>
      </c>
      <c r="O691">
        <f>(Table1[[#This Row],[P]]&lt;&gt;0)*(Table1[[#This Row],[C]]&lt;&gt;0)</f>
        <v>0</v>
      </c>
      <c r="P691">
        <f>NETWORKDAYS(Table1[[#This Row],[ts_event]],Table1[[#This Row],[option_expiry_date]])</f>
        <v>14</v>
      </c>
      <c r="Q691">
        <f>Table1[[#This Row],[Column2]]/252</f>
        <v>5.5555555555555552E-2</v>
      </c>
      <c r="R691" s="2" t="e">
        <f>IF(Table1[[#This Row],[CHECK2]]=0,NA(),
-(1/Table1[[#This Row],[T]])*LN((Table1[[#This Row],[S0]]-Table1[[#This Row],[C]]+Table1[[#This Row],[P]])/Table1[[#This Row],[K]])
)</f>
        <v>#N/A</v>
      </c>
    </row>
    <row r="692" spans="1:18">
      <c r="A692">
        <v>2</v>
      </c>
      <c r="B692" t="s">
        <v>10</v>
      </c>
      <c r="C692" s="1">
        <v>46150</v>
      </c>
      <c r="D692" t="s">
        <v>14</v>
      </c>
      <c r="E692">
        <v>35</v>
      </c>
      <c r="F692" t="s">
        <v>12</v>
      </c>
      <c r="G692" t="s">
        <v>13</v>
      </c>
      <c r="H692" s="1">
        <v>46169</v>
      </c>
      <c r="I692">
        <v>0.30047619047619001</v>
      </c>
      <c r="J692">
        <v>0</v>
      </c>
      <c r="K692">
        <v>3150</v>
      </c>
      <c r="L692">
        <v>0</v>
      </c>
      <c r="M692">
        <v>43.710839571992601</v>
      </c>
      <c r="N692">
        <v>1.929</v>
      </c>
      <c r="O692">
        <f>(Table1[[#This Row],[P]]&lt;&gt;0)*(Table1[[#This Row],[C]]&lt;&gt;0)</f>
        <v>0</v>
      </c>
      <c r="P692">
        <f>NETWORKDAYS(Table1[[#This Row],[ts_event]],Table1[[#This Row],[option_expiry_date]])</f>
        <v>14</v>
      </c>
      <c r="Q692">
        <f>Table1[[#This Row],[Column2]]/252</f>
        <v>5.5555555555555552E-2</v>
      </c>
      <c r="R692" s="2" t="e">
        <f>IF(Table1[[#This Row],[CHECK2]]=0,NA(),
-(1/Table1[[#This Row],[T]])*LN((Table1[[#This Row],[S0]]-Table1[[#This Row],[C]]+Table1[[#This Row],[P]])/Table1[[#This Row],[K]])
)</f>
        <v>#N/A</v>
      </c>
    </row>
    <row r="693" spans="1:18">
      <c r="A693">
        <v>1</v>
      </c>
      <c r="B693" t="s">
        <v>10</v>
      </c>
      <c r="C693" s="1">
        <v>46150</v>
      </c>
      <c r="D693" t="s">
        <v>14</v>
      </c>
      <c r="E693">
        <v>36</v>
      </c>
      <c r="F693" t="s">
        <v>12</v>
      </c>
      <c r="G693" t="s">
        <v>13</v>
      </c>
      <c r="H693" s="1">
        <v>46169</v>
      </c>
      <c r="I693">
        <v>0.4</v>
      </c>
      <c r="J693">
        <v>0</v>
      </c>
      <c r="K693">
        <v>750</v>
      </c>
      <c r="L693">
        <v>0</v>
      </c>
      <c r="M693">
        <v>43.710839571992601</v>
      </c>
      <c r="N693">
        <v>1.929</v>
      </c>
      <c r="O693">
        <f>(Table1[[#This Row],[P]]&lt;&gt;0)*(Table1[[#This Row],[C]]&lt;&gt;0)</f>
        <v>0</v>
      </c>
      <c r="P693">
        <f>NETWORKDAYS(Table1[[#This Row],[ts_event]],Table1[[#This Row],[option_expiry_date]])</f>
        <v>14</v>
      </c>
      <c r="Q693">
        <f>Table1[[#This Row],[Column2]]/252</f>
        <v>5.5555555555555552E-2</v>
      </c>
      <c r="R693" s="2" t="e">
        <f>IF(Table1[[#This Row],[CHECK2]]=0,NA(),
-(1/Table1[[#This Row],[T]])*LN((Table1[[#This Row],[S0]]-Table1[[#This Row],[C]]+Table1[[#This Row],[P]])/Table1[[#This Row],[K]])
)</f>
        <v>#N/A</v>
      </c>
    </row>
    <row r="694" spans="1:18">
      <c r="A694">
        <v>1</v>
      </c>
      <c r="B694" t="s">
        <v>10</v>
      </c>
      <c r="C694" s="1">
        <v>46150</v>
      </c>
      <c r="D694" t="s">
        <v>14</v>
      </c>
      <c r="E694">
        <v>37</v>
      </c>
      <c r="F694" t="s">
        <v>12</v>
      </c>
      <c r="G694" t="s">
        <v>13</v>
      </c>
      <c r="H694" s="1">
        <v>46169</v>
      </c>
      <c r="I694">
        <v>0.51500000000000001</v>
      </c>
      <c r="J694">
        <v>0</v>
      </c>
      <c r="K694">
        <v>100</v>
      </c>
      <c r="L694">
        <v>0</v>
      </c>
      <c r="M694">
        <v>43.710839571992601</v>
      </c>
      <c r="N694">
        <v>1.929</v>
      </c>
      <c r="O694">
        <f>(Table1[[#This Row],[P]]&lt;&gt;0)*(Table1[[#This Row],[C]]&lt;&gt;0)</f>
        <v>0</v>
      </c>
      <c r="P694">
        <f>NETWORKDAYS(Table1[[#This Row],[ts_event]],Table1[[#This Row],[option_expiry_date]])</f>
        <v>14</v>
      </c>
      <c r="Q694">
        <f>Table1[[#This Row],[Column2]]/252</f>
        <v>5.5555555555555552E-2</v>
      </c>
      <c r="R694" s="2" t="e">
        <f>IF(Table1[[#This Row],[CHECK2]]=0,NA(),
-(1/Table1[[#This Row],[T]])*LN((Table1[[#This Row],[S0]]-Table1[[#This Row],[C]]+Table1[[#This Row],[P]])/Table1[[#This Row],[K]])
)</f>
        <v>#N/A</v>
      </c>
    </row>
    <row r="695" spans="1:18">
      <c r="A695">
        <v>1</v>
      </c>
      <c r="B695" t="s">
        <v>10</v>
      </c>
      <c r="C695" s="1">
        <v>46150</v>
      </c>
      <c r="D695" t="s">
        <v>14</v>
      </c>
      <c r="E695">
        <v>39</v>
      </c>
      <c r="F695" t="s">
        <v>12</v>
      </c>
      <c r="G695" t="s">
        <v>13</v>
      </c>
      <c r="H695" s="1">
        <v>46169</v>
      </c>
      <c r="I695">
        <v>0.95</v>
      </c>
      <c r="J695">
        <v>0</v>
      </c>
      <c r="K695">
        <v>250</v>
      </c>
      <c r="L695">
        <v>0</v>
      </c>
      <c r="M695">
        <v>43.710839571992601</v>
      </c>
      <c r="N695">
        <v>1.929</v>
      </c>
      <c r="O695">
        <f>(Table1[[#This Row],[P]]&lt;&gt;0)*(Table1[[#This Row],[C]]&lt;&gt;0)</f>
        <v>0</v>
      </c>
      <c r="P695">
        <f>NETWORKDAYS(Table1[[#This Row],[ts_event]],Table1[[#This Row],[option_expiry_date]])</f>
        <v>14</v>
      </c>
      <c r="Q695">
        <f>Table1[[#This Row],[Column2]]/252</f>
        <v>5.5555555555555552E-2</v>
      </c>
      <c r="R695" s="2" t="e">
        <f>IF(Table1[[#This Row],[CHECK2]]=0,NA(),
-(1/Table1[[#This Row],[T]])*LN((Table1[[#This Row],[S0]]-Table1[[#This Row],[C]]+Table1[[#This Row],[P]])/Table1[[#This Row],[K]])
)</f>
        <v>#N/A</v>
      </c>
    </row>
    <row r="696" spans="1:18">
      <c r="A696">
        <v>2</v>
      </c>
      <c r="B696" t="s">
        <v>10</v>
      </c>
      <c r="C696" s="1">
        <v>46150</v>
      </c>
      <c r="D696" t="s">
        <v>14</v>
      </c>
      <c r="E696">
        <v>40</v>
      </c>
      <c r="F696" t="s">
        <v>12</v>
      </c>
      <c r="G696" t="s">
        <v>13</v>
      </c>
      <c r="H696" s="1">
        <v>46169</v>
      </c>
      <c r="I696">
        <v>1.30044150110375</v>
      </c>
      <c r="J696">
        <v>0</v>
      </c>
      <c r="K696">
        <v>4530</v>
      </c>
      <c r="L696">
        <v>0</v>
      </c>
      <c r="M696">
        <v>43.710839571992601</v>
      </c>
      <c r="N696">
        <v>1.929</v>
      </c>
      <c r="O696">
        <f>(Table1[[#This Row],[P]]&lt;&gt;0)*(Table1[[#This Row],[C]]&lt;&gt;0)</f>
        <v>0</v>
      </c>
      <c r="P696">
        <f>NETWORKDAYS(Table1[[#This Row],[ts_event]],Table1[[#This Row],[option_expiry_date]])</f>
        <v>14</v>
      </c>
      <c r="Q696">
        <f>Table1[[#This Row],[Column2]]/252</f>
        <v>5.5555555555555552E-2</v>
      </c>
      <c r="R696" s="2" t="e">
        <f>IF(Table1[[#This Row],[CHECK2]]=0,NA(),
-(1/Table1[[#This Row],[T]])*LN((Table1[[#This Row],[S0]]-Table1[[#This Row],[C]]+Table1[[#This Row],[P]])/Table1[[#This Row],[K]])
)</f>
        <v>#N/A</v>
      </c>
    </row>
    <row r="697" spans="1:18">
      <c r="A697">
        <v>2</v>
      </c>
      <c r="B697" t="s">
        <v>10</v>
      </c>
      <c r="C697" s="1">
        <v>46150</v>
      </c>
      <c r="D697" t="s">
        <v>14</v>
      </c>
      <c r="E697">
        <v>41</v>
      </c>
      <c r="F697" t="s">
        <v>12</v>
      </c>
      <c r="G697" t="s">
        <v>13</v>
      </c>
      <c r="H697" s="1">
        <v>46169</v>
      </c>
      <c r="I697">
        <v>1.6470149253731301</v>
      </c>
      <c r="J697">
        <v>0</v>
      </c>
      <c r="K697">
        <v>3350</v>
      </c>
      <c r="L697">
        <v>0</v>
      </c>
      <c r="M697">
        <v>43.710839571992601</v>
      </c>
      <c r="N697">
        <v>1.929</v>
      </c>
      <c r="O697">
        <f>(Table1[[#This Row],[P]]&lt;&gt;0)*(Table1[[#This Row],[C]]&lt;&gt;0)</f>
        <v>0</v>
      </c>
      <c r="P697">
        <f>NETWORKDAYS(Table1[[#This Row],[ts_event]],Table1[[#This Row],[option_expiry_date]])</f>
        <v>14</v>
      </c>
      <c r="Q697">
        <f>Table1[[#This Row],[Column2]]/252</f>
        <v>5.5555555555555552E-2</v>
      </c>
      <c r="R697" s="2" t="e">
        <f>IF(Table1[[#This Row],[CHECK2]]=0,NA(),
-(1/Table1[[#This Row],[T]])*LN((Table1[[#This Row],[S0]]-Table1[[#This Row],[C]]+Table1[[#This Row],[P]])/Table1[[#This Row],[K]])
)</f>
        <v>#N/A</v>
      </c>
    </row>
    <row r="698" spans="1:18">
      <c r="A698">
        <v>1</v>
      </c>
      <c r="B698" t="s">
        <v>10</v>
      </c>
      <c r="C698" s="1">
        <v>46150</v>
      </c>
      <c r="D698" t="s">
        <v>14</v>
      </c>
      <c r="E698">
        <v>42</v>
      </c>
      <c r="F698" t="s">
        <v>12</v>
      </c>
      <c r="G698" t="s">
        <v>13</v>
      </c>
      <c r="H698" s="1">
        <v>46169</v>
      </c>
      <c r="I698">
        <v>2.2000000000000002</v>
      </c>
      <c r="J698">
        <v>0</v>
      </c>
      <c r="K698">
        <v>2900</v>
      </c>
      <c r="L698">
        <v>0</v>
      </c>
      <c r="M698">
        <v>43.710839571992601</v>
      </c>
      <c r="N698">
        <v>1.929</v>
      </c>
      <c r="O698">
        <f>(Table1[[#This Row],[P]]&lt;&gt;0)*(Table1[[#This Row],[C]]&lt;&gt;0)</f>
        <v>0</v>
      </c>
      <c r="P698">
        <f>NETWORKDAYS(Table1[[#This Row],[ts_event]],Table1[[#This Row],[option_expiry_date]])</f>
        <v>14</v>
      </c>
      <c r="Q698">
        <f>Table1[[#This Row],[Column2]]/252</f>
        <v>5.5555555555555552E-2</v>
      </c>
      <c r="R698" s="2" t="e">
        <f>IF(Table1[[#This Row],[CHECK2]]=0,NA(),
-(1/Table1[[#This Row],[T]])*LN((Table1[[#This Row],[S0]]-Table1[[#This Row],[C]]+Table1[[#This Row],[P]])/Table1[[#This Row],[K]])
)</f>
        <v>#N/A</v>
      </c>
    </row>
    <row r="699" spans="1:18">
      <c r="A699">
        <v>1</v>
      </c>
      <c r="B699" t="s">
        <v>10</v>
      </c>
      <c r="C699" s="1">
        <v>46150</v>
      </c>
      <c r="D699" t="s">
        <v>14</v>
      </c>
      <c r="E699">
        <v>43</v>
      </c>
      <c r="F699" t="s">
        <v>12</v>
      </c>
      <c r="G699" t="s">
        <v>13</v>
      </c>
      <c r="H699" s="1">
        <v>46169</v>
      </c>
      <c r="I699">
        <v>2.73</v>
      </c>
      <c r="J699">
        <v>0</v>
      </c>
      <c r="K699">
        <v>50</v>
      </c>
      <c r="L699">
        <v>0</v>
      </c>
      <c r="M699">
        <v>43.710839571992601</v>
      </c>
      <c r="N699">
        <v>1.929</v>
      </c>
      <c r="O699">
        <f>(Table1[[#This Row],[P]]&lt;&gt;0)*(Table1[[#This Row],[C]]&lt;&gt;0)</f>
        <v>0</v>
      </c>
      <c r="P699">
        <f>NETWORKDAYS(Table1[[#This Row],[ts_event]],Table1[[#This Row],[option_expiry_date]])</f>
        <v>14</v>
      </c>
      <c r="Q699">
        <f>Table1[[#This Row],[Column2]]/252</f>
        <v>5.5555555555555552E-2</v>
      </c>
      <c r="R699" s="2" t="e">
        <f>IF(Table1[[#This Row],[CHECK2]]=0,NA(),
-(1/Table1[[#This Row],[T]])*LN((Table1[[#This Row],[S0]]-Table1[[#This Row],[C]]+Table1[[#This Row],[P]])/Table1[[#This Row],[K]])
)</f>
        <v>#N/A</v>
      </c>
    </row>
    <row r="700" spans="1:18">
      <c r="A700">
        <v>1</v>
      </c>
      <c r="B700" t="s">
        <v>10</v>
      </c>
      <c r="C700" s="1">
        <v>46150</v>
      </c>
      <c r="D700" t="s">
        <v>14</v>
      </c>
      <c r="E700">
        <v>44</v>
      </c>
      <c r="F700" t="s">
        <v>12</v>
      </c>
      <c r="G700" t="s">
        <v>13</v>
      </c>
      <c r="H700" s="1">
        <v>46169</v>
      </c>
      <c r="I700">
        <v>3.28</v>
      </c>
      <c r="J700">
        <v>0</v>
      </c>
      <c r="K700">
        <v>1750</v>
      </c>
      <c r="L700">
        <v>0</v>
      </c>
      <c r="M700">
        <v>43.710839571992601</v>
      </c>
      <c r="N700">
        <v>1.929</v>
      </c>
      <c r="O700">
        <f>(Table1[[#This Row],[P]]&lt;&gt;0)*(Table1[[#This Row],[C]]&lt;&gt;0)</f>
        <v>0</v>
      </c>
      <c r="P700">
        <f>NETWORKDAYS(Table1[[#This Row],[ts_event]],Table1[[#This Row],[option_expiry_date]])</f>
        <v>14</v>
      </c>
      <c r="Q700">
        <f>Table1[[#This Row],[Column2]]/252</f>
        <v>5.5555555555555552E-2</v>
      </c>
      <c r="R700" s="2" t="e">
        <f>IF(Table1[[#This Row],[CHECK2]]=0,NA(),
-(1/Table1[[#This Row],[T]])*LN((Table1[[#This Row],[S0]]-Table1[[#This Row],[C]]+Table1[[#This Row],[P]])/Table1[[#This Row],[K]])
)</f>
        <v>#N/A</v>
      </c>
    </row>
    <row r="701" spans="1:18">
      <c r="A701">
        <v>4</v>
      </c>
      <c r="B701" t="s">
        <v>10</v>
      </c>
      <c r="C701" s="1">
        <v>46150</v>
      </c>
      <c r="D701" t="s">
        <v>14</v>
      </c>
      <c r="E701">
        <v>45</v>
      </c>
      <c r="F701" t="s">
        <v>12</v>
      </c>
      <c r="G701" t="s">
        <v>13</v>
      </c>
      <c r="H701" s="1">
        <v>46169</v>
      </c>
      <c r="I701">
        <v>3.8545454545454501</v>
      </c>
      <c r="J701">
        <v>3.0376093750000002</v>
      </c>
      <c r="K701">
        <v>275</v>
      </c>
      <c r="L701">
        <v>1600</v>
      </c>
      <c r="M701">
        <v>43.710839571992601</v>
      </c>
      <c r="N701">
        <v>1.929</v>
      </c>
      <c r="O701">
        <f>(Table1[[#This Row],[P]]&lt;&gt;0)*(Table1[[#This Row],[C]]&lt;&gt;0)</f>
        <v>1</v>
      </c>
      <c r="P701">
        <f>NETWORKDAYS(Table1[[#This Row],[ts_event]],Table1[[#This Row],[option_expiry_date]])</f>
        <v>14</v>
      </c>
      <c r="Q701">
        <f>Table1[[#This Row],[Column2]]/252</f>
        <v>5.5555555555555552E-2</v>
      </c>
      <c r="R701" s="2">
        <f>IF(Table1[[#This Row],[CHECK2]]=0,NA(),
-(1/Table1[[#This Row],[T]])*LN((Table1[[#This Row],[S0]]-Table1[[#This Row],[C]]+Table1[[#This Row],[P]])/Table1[[#This Row],[K]])
)</f>
        <v>0.18988782061930026</v>
      </c>
    </row>
    <row r="702" spans="1:18">
      <c r="A702">
        <v>1</v>
      </c>
      <c r="B702" t="s">
        <v>10</v>
      </c>
      <c r="C702" s="1">
        <v>46150</v>
      </c>
      <c r="D702" t="s">
        <v>14</v>
      </c>
      <c r="E702">
        <v>48</v>
      </c>
      <c r="F702" t="s">
        <v>12</v>
      </c>
      <c r="G702" t="s">
        <v>13</v>
      </c>
      <c r="H702" s="1">
        <v>46169</v>
      </c>
      <c r="I702">
        <v>0</v>
      </c>
      <c r="J702">
        <v>2.2349999999999999</v>
      </c>
      <c r="K702">
        <v>0</v>
      </c>
      <c r="L702">
        <v>385</v>
      </c>
      <c r="M702">
        <v>43.710839571992601</v>
      </c>
      <c r="N702">
        <v>1.929</v>
      </c>
      <c r="O702">
        <f>(Table1[[#This Row],[P]]&lt;&gt;0)*(Table1[[#This Row],[C]]&lt;&gt;0)</f>
        <v>0</v>
      </c>
      <c r="P702">
        <f>NETWORKDAYS(Table1[[#This Row],[ts_event]],Table1[[#This Row],[option_expiry_date]])</f>
        <v>14</v>
      </c>
      <c r="Q702">
        <f>Table1[[#This Row],[Column2]]/252</f>
        <v>5.5555555555555552E-2</v>
      </c>
      <c r="R702" s="2" t="e">
        <f>IF(Table1[[#This Row],[CHECK2]]=0,NA(),
-(1/Table1[[#This Row],[T]])*LN((Table1[[#This Row],[S0]]-Table1[[#This Row],[C]]+Table1[[#This Row],[P]])/Table1[[#This Row],[K]])
)</f>
        <v>#N/A</v>
      </c>
    </row>
    <row r="703" spans="1:18">
      <c r="A703">
        <v>3</v>
      </c>
      <c r="B703" t="s">
        <v>10</v>
      </c>
      <c r="C703" s="1">
        <v>46150</v>
      </c>
      <c r="D703" t="s">
        <v>14</v>
      </c>
      <c r="E703">
        <v>50</v>
      </c>
      <c r="F703" t="s">
        <v>12</v>
      </c>
      <c r="G703" t="s">
        <v>13</v>
      </c>
      <c r="H703" s="1">
        <v>46169</v>
      </c>
      <c r="I703">
        <v>7.45</v>
      </c>
      <c r="J703">
        <v>1.73017130620985</v>
      </c>
      <c r="K703">
        <v>1100</v>
      </c>
      <c r="L703">
        <v>4670</v>
      </c>
      <c r="M703">
        <v>43.710839571992601</v>
      </c>
      <c r="N703">
        <v>1.929</v>
      </c>
      <c r="O703">
        <f>(Table1[[#This Row],[P]]&lt;&gt;0)*(Table1[[#This Row],[C]]&lt;&gt;0)</f>
        <v>1</v>
      </c>
      <c r="P703">
        <f>NETWORKDAYS(Table1[[#This Row],[ts_event]],Table1[[#This Row],[option_expiry_date]])</f>
        <v>14</v>
      </c>
      <c r="Q703">
        <f>Table1[[#This Row],[Column2]]/252</f>
        <v>5.5555555555555552E-2</v>
      </c>
      <c r="R703" s="2">
        <f>IF(Table1[[#This Row],[CHECK2]]=0,NA(),
-(1/Table1[[#This Row],[T]])*LN((Table1[[#This Row],[S0]]-Table1[[#This Row],[C]]+Table1[[#This Row],[P]])/Table1[[#This Row],[K]])
)</f>
        <v>0.2061352577416542</v>
      </c>
    </row>
    <row r="704" spans="1:18">
      <c r="A704">
        <v>2</v>
      </c>
      <c r="B704" t="s">
        <v>10</v>
      </c>
      <c r="C704" s="1">
        <v>46150</v>
      </c>
      <c r="D704" t="s">
        <v>14</v>
      </c>
      <c r="E704">
        <v>55</v>
      </c>
      <c r="F704" t="s">
        <v>12</v>
      </c>
      <c r="G704" t="s">
        <v>13</v>
      </c>
      <c r="H704" s="1">
        <v>46169</v>
      </c>
      <c r="I704">
        <v>0</v>
      </c>
      <c r="J704">
        <v>1.113</v>
      </c>
      <c r="K704">
        <v>0</v>
      </c>
      <c r="L704">
        <v>1250</v>
      </c>
      <c r="M704">
        <v>43.710839571992601</v>
      </c>
      <c r="N704">
        <v>1.929</v>
      </c>
      <c r="O704">
        <f>(Table1[[#This Row],[P]]&lt;&gt;0)*(Table1[[#This Row],[C]]&lt;&gt;0)</f>
        <v>0</v>
      </c>
      <c r="P704">
        <f>NETWORKDAYS(Table1[[#This Row],[ts_event]],Table1[[#This Row],[option_expiry_date]])</f>
        <v>14</v>
      </c>
      <c r="Q704">
        <f>Table1[[#This Row],[Column2]]/252</f>
        <v>5.5555555555555552E-2</v>
      </c>
      <c r="R704" s="2" t="e">
        <f>IF(Table1[[#This Row],[CHECK2]]=0,NA(),
-(1/Table1[[#This Row],[T]])*LN((Table1[[#This Row],[S0]]-Table1[[#This Row],[C]]+Table1[[#This Row],[P]])/Table1[[#This Row],[K]])
)</f>
        <v>#N/A</v>
      </c>
    </row>
    <row r="705" spans="1:18">
      <c r="A705">
        <v>2</v>
      </c>
      <c r="B705" t="s">
        <v>10</v>
      </c>
      <c r="C705" s="1">
        <v>46150</v>
      </c>
      <c r="D705" t="s">
        <v>14</v>
      </c>
      <c r="E705">
        <v>60</v>
      </c>
      <c r="F705" t="s">
        <v>12</v>
      </c>
      <c r="G705" t="s">
        <v>13</v>
      </c>
      <c r="H705" s="1">
        <v>46169</v>
      </c>
      <c r="I705">
        <v>0</v>
      </c>
      <c r="J705">
        <v>0.69943734015345205</v>
      </c>
      <c r="K705">
        <v>0</v>
      </c>
      <c r="L705">
        <v>3910</v>
      </c>
      <c r="M705">
        <v>43.710839571992601</v>
      </c>
      <c r="N705">
        <v>1.929</v>
      </c>
      <c r="O705">
        <f>(Table1[[#This Row],[P]]&lt;&gt;0)*(Table1[[#This Row],[C]]&lt;&gt;0)</f>
        <v>0</v>
      </c>
      <c r="P705">
        <f>NETWORKDAYS(Table1[[#This Row],[ts_event]],Table1[[#This Row],[option_expiry_date]])</f>
        <v>14</v>
      </c>
      <c r="Q705">
        <f>Table1[[#This Row],[Column2]]/252</f>
        <v>5.5555555555555552E-2</v>
      </c>
      <c r="R705" s="2" t="e">
        <f>IF(Table1[[#This Row],[CHECK2]]=0,NA(),
-(1/Table1[[#This Row],[T]])*LN((Table1[[#This Row],[S0]]-Table1[[#This Row],[C]]+Table1[[#This Row],[P]])/Table1[[#This Row],[K]])
)</f>
        <v>#N/A</v>
      </c>
    </row>
    <row r="706" spans="1:18">
      <c r="A706">
        <v>2</v>
      </c>
      <c r="B706" t="s">
        <v>10</v>
      </c>
      <c r="C706" s="1">
        <v>46150</v>
      </c>
      <c r="D706" t="s">
        <v>14</v>
      </c>
      <c r="E706">
        <v>65</v>
      </c>
      <c r="F706" t="s">
        <v>12</v>
      </c>
      <c r="G706" t="s">
        <v>13</v>
      </c>
      <c r="H706" s="1">
        <v>46169</v>
      </c>
      <c r="I706">
        <v>0</v>
      </c>
      <c r="J706">
        <v>0.46897660818713399</v>
      </c>
      <c r="K706">
        <v>0</v>
      </c>
      <c r="L706">
        <v>855</v>
      </c>
      <c r="M706">
        <v>43.710839571992601</v>
      </c>
      <c r="N706">
        <v>1.929</v>
      </c>
      <c r="O706">
        <f>(Table1[[#This Row],[P]]&lt;&gt;0)*(Table1[[#This Row],[C]]&lt;&gt;0)</f>
        <v>0</v>
      </c>
      <c r="P706">
        <f>NETWORKDAYS(Table1[[#This Row],[ts_event]],Table1[[#This Row],[option_expiry_date]])</f>
        <v>14</v>
      </c>
      <c r="Q706">
        <f>Table1[[#This Row],[Column2]]/252</f>
        <v>5.5555555555555552E-2</v>
      </c>
      <c r="R706" s="2" t="e">
        <f>IF(Table1[[#This Row],[CHECK2]]=0,NA(),
-(1/Table1[[#This Row],[T]])*LN((Table1[[#This Row],[S0]]-Table1[[#This Row],[C]]+Table1[[#This Row],[P]])/Table1[[#This Row],[K]])
)</f>
        <v>#N/A</v>
      </c>
    </row>
    <row r="707" spans="1:18">
      <c r="A707">
        <v>2</v>
      </c>
      <c r="B707" t="s">
        <v>10</v>
      </c>
      <c r="C707" s="1">
        <v>46150</v>
      </c>
      <c r="D707" t="s">
        <v>14</v>
      </c>
      <c r="E707">
        <v>75</v>
      </c>
      <c r="F707" t="s">
        <v>12</v>
      </c>
      <c r="G707" t="s">
        <v>13</v>
      </c>
      <c r="H707" s="1">
        <v>46169</v>
      </c>
      <c r="I707">
        <v>0</v>
      </c>
      <c r="J707">
        <v>0.23111111111111099</v>
      </c>
      <c r="K707">
        <v>0</v>
      </c>
      <c r="L707">
        <v>450</v>
      </c>
      <c r="M707">
        <v>43.710839571992601</v>
      </c>
      <c r="N707">
        <v>1.929</v>
      </c>
      <c r="O707">
        <f>(Table1[[#This Row],[P]]&lt;&gt;0)*(Table1[[#This Row],[C]]&lt;&gt;0)</f>
        <v>0</v>
      </c>
      <c r="P707">
        <f>NETWORKDAYS(Table1[[#This Row],[ts_event]],Table1[[#This Row],[option_expiry_date]])</f>
        <v>14</v>
      </c>
      <c r="Q707">
        <f>Table1[[#This Row],[Column2]]/252</f>
        <v>5.5555555555555552E-2</v>
      </c>
      <c r="R707" s="2" t="e">
        <f>IF(Table1[[#This Row],[CHECK2]]=0,NA(),
-(1/Table1[[#This Row],[T]])*LN((Table1[[#This Row],[S0]]-Table1[[#This Row],[C]]+Table1[[#This Row],[P]])/Table1[[#This Row],[K]])
)</f>
        <v>#N/A</v>
      </c>
    </row>
    <row r="708" spans="1:18">
      <c r="A708">
        <v>1</v>
      </c>
      <c r="B708" t="s">
        <v>10</v>
      </c>
      <c r="C708" s="1">
        <v>46150</v>
      </c>
      <c r="D708" t="s">
        <v>15</v>
      </c>
      <c r="E708">
        <v>30</v>
      </c>
      <c r="F708" t="s">
        <v>12</v>
      </c>
      <c r="G708" t="s">
        <v>13</v>
      </c>
      <c r="H708" s="1">
        <v>46199</v>
      </c>
      <c r="I708">
        <v>0.18</v>
      </c>
      <c r="J708">
        <v>0</v>
      </c>
      <c r="K708">
        <v>850</v>
      </c>
      <c r="L708">
        <v>0</v>
      </c>
      <c r="M708">
        <v>43.755029763368903</v>
      </c>
      <c r="N708">
        <v>1.929</v>
      </c>
      <c r="O708">
        <f>(Table1[[#This Row],[P]]&lt;&gt;0)*(Table1[[#This Row],[C]]&lt;&gt;0)</f>
        <v>0</v>
      </c>
      <c r="P708">
        <f>NETWORKDAYS(Table1[[#This Row],[ts_event]],Table1[[#This Row],[option_expiry_date]])</f>
        <v>36</v>
      </c>
      <c r="Q708">
        <f>Table1[[#This Row],[Column2]]/252</f>
        <v>0.14285714285714285</v>
      </c>
      <c r="R708" s="2" t="e">
        <f>IF(Table1[[#This Row],[CHECK2]]=0,NA(),
-(1/Table1[[#This Row],[T]])*LN((Table1[[#This Row],[S0]]-Table1[[#This Row],[C]]+Table1[[#This Row],[P]])/Table1[[#This Row],[K]])
)</f>
        <v>#N/A</v>
      </c>
    </row>
    <row r="709" spans="1:18">
      <c r="A709">
        <v>2</v>
      </c>
      <c r="B709" t="s">
        <v>10</v>
      </c>
      <c r="C709" s="1">
        <v>46150</v>
      </c>
      <c r="D709" t="s">
        <v>15</v>
      </c>
      <c r="E709">
        <v>33</v>
      </c>
      <c r="F709" t="s">
        <v>12</v>
      </c>
      <c r="G709" t="s">
        <v>13</v>
      </c>
      <c r="H709" s="1">
        <v>46199</v>
      </c>
      <c r="I709">
        <v>0.49299999999999999</v>
      </c>
      <c r="J709">
        <v>0</v>
      </c>
      <c r="K709">
        <v>250</v>
      </c>
      <c r="L709">
        <v>0</v>
      </c>
      <c r="M709">
        <v>43.755029763368903</v>
      </c>
      <c r="N709">
        <v>1.929</v>
      </c>
      <c r="O709">
        <f>(Table1[[#This Row],[P]]&lt;&gt;0)*(Table1[[#This Row],[C]]&lt;&gt;0)</f>
        <v>0</v>
      </c>
      <c r="P709">
        <f>NETWORKDAYS(Table1[[#This Row],[ts_event]],Table1[[#This Row],[option_expiry_date]])</f>
        <v>36</v>
      </c>
      <c r="Q709">
        <f>Table1[[#This Row],[Column2]]/252</f>
        <v>0.14285714285714285</v>
      </c>
      <c r="R709" s="2" t="e">
        <f>IF(Table1[[#This Row],[CHECK2]]=0,NA(),
-(1/Table1[[#This Row],[T]])*LN((Table1[[#This Row],[S0]]-Table1[[#This Row],[C]]+Table1[[#This Row],[P]])/Table1[[#This Row],[K]])
)</f>
        <v>#N/A</v>
      </c>
    </row>
    <row r="710" spans="1:18">
      <c r="A710">
        <v>1</v>
      </c>
      <c r="B710" t="s">
        <v>10</v>
      </c>
      <c r="C710" s="1">
        <v>46150</v>
      </c>
      <c r="D710" t="s">
        <v>15</v>
      </c>
      <c r="E710">
        <v>35</v>
      </c>
      <c r="F710" t="s">
        <v>12</v>
      </c>
      <c r="G710" t="s">
        <v>13</v>
      </c>
      <c r="H710" s="1">
        <v>46199</v>
      </c>
      <c r="I710">
        <v>0.84</v>
      </c>
      <c r="J710">
        <v>0</v>
      </c>
      <c r="K710">
        <v>1000</v>
      </c>
      <c r="L710">
        <v>0</v>
      </c>
      <c r="M710">
        <v>43.755029763368903</v>
      </c>
      <c r="N710">
        <v>1.929</v>
      </c>
      <c r="O710">
        <f>(Table1[[#This Row],[P]]&lt;&gt;0)*(Table1[[#This Row],[C]]&lt;&gt;0)</f>
        <v>0</v>
      </c>
      <c r="P710">
        <f>NETWORKDAYS(Table1[[#This Row],[ts_event]],Table1[[#This Row],[option_expiry_date]])</f>
        <v>36</v>
      </c>
      <c r="Q710">
        <f>Table1[[#This Row],[Column2]]/252</f>
        <v>0.14285714285714285</v>
      </c>
      <c r="R710" s="2" t="e">
        <f>IF(Table1[[#This Row],[CHECK2]]=0,NA(),
-(1/Table1[[#This Row],[T]])*LN((Table1[[#This Row],[S0]]-Table1[[#This Row],[C]]+Table1[[#This Row],[P]])/Table1[[#This Row],[K]])
)</f>
        <v>#N/A</v>
      </c>
    </row>
    <row r="711" spans="1:18">
      <c r="A711">
        <v>1</v>
      </c>
      <c r="B711" t="s">
        <v>10</v>
      </c>
      <c r="C711" s="1">
        <v>46150</v>
      </c>
      <c r="D711" t="s">
        <v>15</v>
      </c>
      <c r="E711">
        <v>36</v>
      </c>
      <c r="F711" t="s">
        <v>12</v>
      </c>
      <c r="G711" t="s">
        <v>13</v>
      </c>
      <c r="H711" s="1">
        <v>46199</v>
      </c>
      <c r="I711">
        <v>1.1000000000000001</v>
      </c>
      <c r="J711">
        <v>0</v>
      </c>
      <c r="K711">
        <v>50</v>
      </c>
      <c r="L711">
        <v>0</v>
      </c>
      <c r="M711">
        <v>43.755029763368903</v>
      </c>
      <c r="N711">
        <v>1.929</v>
      </c>
      <c r="O711">
        <f>(Table1[[#This Row],[P]]&lt;&gt;0)*(Table1[[#This Row],[C]]&lt;&gt;0)</f>
        <v>0</v>
      </c>
      <c r="P711">
        <f>NETWORKDAYS(Table1[[#This Row],[ts_event]],Table1[[#This Row],[option_expiry_date]])</f>
        <v>36</v>
      </c>
      <c r="Q711">
        <f>Table1[[#This Row],[Column2]]/252</f>
        <v>0.14285714285714285</v>
      </c>
      <c r="R711" s="2" t="e">
        <f>IF(Table1[[#This Row],[CHECK2]]=0,NA(),
-(1/Table1[[#This Row],[T]])*LN((Table1[[#This Row],[S0]]-Table1[[#This Row],[C]]+Table1[[#This Row],[P]])/Table1[[#This Row],[K]])
)</f>
        <v>#N/A</v>
      </c>
    </row>
    <row r="712" spans="1:18">
      <c r="A712">
        <v>1</v>
      </c>
      <c r="B712" t="s">
        <v>10</v>
      </c>
      <c r="C712" s="1">
        <v>46150</v>
      </c>
      <c r="D712" t="s">
        <v>15</v>
      </c>
      <c r="E712">
        <v>55</v>
      </c>
      <c r="F712" t="s">
        <v>12</v>
      </c>
      <c r="G712" t="s">
        <v>13</v>
      </c>
      <c r="H712" s="1">
        <v>46199</v>
      </c>
      <c r="I712">
        <v>0</v>
      </c>
      <c r="J712">
        <v>2.6</v>
      </c>
      <c r="K712">
        <v>0</v>
      </c>
      <c r="L712">
        <v>137</v>
      </c>
      <c r="M712">
        <v>43.755029763368903</v>
      </c>
      <c r="N712">
        <v>1.929</v>
      </c>
      <c r="O712">
        <f>(Table1[[#This Row],[P]]&lt;&gt;0)*(Table1[[#This Row],[C]]&lt;&gt;0)</f>
        <v>0</v>
      </c>
      <c r="P712">
        <f>NETWORKDAYS(Table1[[#This Row],[ts_event]],Table1[[#This Row],[option_expiry_date]])</f>
        <v>36</v>
      </c>
      <c r="Q712">
        <f>Table1[[#This Row],[Column2]]/252</f>
        <v>0.14285714285714285</v>
      </c>
      <c r="R712" s="2" t="e">
        <f>IF(Table1[[#This Row],[CHECK2]]=0,NA(),
-(1/Table1[[#This Row],[T]])*LN((Table1[[#This Row],[S0]]-Table1[[#This Row],[C]]+Table1[[#This Row],[P]])/Table1[[#This Row],[K]])
)</f>
        <v>#N/A</v>
      </c>
    </row>
    <row r="713" spans="1:18">
      <c r="A713">
        <v>1</v>
      </c>
      <c r="B713" t="s">
        <v>10</v>
      </c>
      <c r="C713" s="1">
        <v>46150</v>
      </c>
      <c r="D713" t="s">
        <v>15</v>
      </c>
      <c r="E713">
        <v>60</v>
      </c>
      <c r="F713" t="s">
        <v>12</v>
      </c>
      <c r="G713" t="s">
        <v>13</v>
      </c>
      <c r="H713" s="1">
        <v>46199</v>
      </c>
      <c r="I713">
        <v>0</v>
      </c>
      <c r="J713">
        <v>2.0750000000000002</v>
      </c>
      <c r="K713">
        <v>0</v>
      </c>
      <c r="L713">
        <v>1100</v>
      </c>
      <c r="M713">
        <v>43.755029763368903</v>
      </c>
      <c r="N713">
        <v>1.929</v>
      </c>
      <c r="O713">
        <f>(Table1[[#This Row],[P]]&lt;&gt;0)*(Table1[[#This Row],[C]]&lt;&gt;0)</f>
        <v>0</v>
      </c>
      <c r="P713">
        <f>NETWORKDAYS(Table1[[#This Row],[ts_event]],Table1[[#This Row],[option_expiry_date]])</f>
        <v>36</v>
      </c>
      <c r="Q713">
        <f>Table1[[#This Row],[Column2]]/252</f>
        <v>0.14285714285714285</v>
      </c>
      <c r="R713" s="2" t="e">
        <f>IF(Table1[[#This Row],[CHECK2]]=0,NA(),
-(1/Table1[[#This Row],[T]])*LN((Table1[[#This Row],[S0]]-Table1[[#This Row],[C]]+Table1[[#This Row],[P]])/Table1[[#This Row],[K]])
)</f>
        <v>#N/A</v>
      </c>
    </row>
    <row r="714" spans="1:18">
      <c r="A714">
        <v>1</v>
      </c>
      <c r="B714" t="s">
        <v>10</v>
      </c>
      <c r="C714" s="1">
        <v>46150</v>
      </c>
      <c r="D714" t="s">
        <v>15</v>
      </c>
      <c r="E714">
        <v>85</v>
      </c>
      <c r="F714" t="s">
        <v>12</v>
      </c>
      <c r="G714" t="s">
        <v>13</v>
      </c>
      <c r="H714" s="1">
        <v>46199</v>
      </c>
      <c r="I714">
        <v>0</v>
      </c>
      <c r="J714">
        <v>0.7</v>
      </c>
      <c r="K714">
        <v>0</v>
      </c>
      <c r="L714">
        <v>287</v>
      </c>
      <c r="M714">
        <v>43.755029763368903</v>
      </c>
      <c r="N714">
        <v>1.929</v>
      </c>
      <c r="O714">
        <f>(Table1[[#This Row],[P]]&lt;&gt;0)*(Table1[[#This Row],[C]]&lt;&gt;0)</f>
        <v>0</v>
      </c>
      <c r="P714">
        <f>NETWORKDAYS(Table1[[#This Row],[ts_event]],Table1[[#This Row],[option_expiry_date]])</f>
        <v>36</v>
      </c>
      <c r="Q714">
        <f>Table1[[#This Row],[Column2]]/252</f>
        <v>0.14285714285714285</v>
      </c>
      <c r="R714" s="2" t="e">
        <f>IF(Table1[[#This Row],[CHECK2]]=0,NA(),
-(1/Table1[[#This Row],[T]])*LN((Table1[[#This Row],[S0]]-Table1[[#This Row],[C]]+Table1[[#This Row],[P]])/Table1[[#This Row],[K]])
)</f>
        <v>#N/A</v>
      </c>
    </row>
    <row r="715" spans="1:18">
      <c r="A715">
        <v>1</v>
      </c>
      <c r="B715" t="s">
        <v>10</v>
      </c>
      <c r="C715" s="1">
        <v>46150</v>
      </c>
      <c r="D715" t="s">
        <v>16</v>
      </c>
      <c r="E715">
        <v>32</v>
      </c>
      <c r="F715" t="s">
        <v>12</v>
      </c>
      <c r="G715" t="s">
        <v>13</v>
      </c>
      <c r="H715" s="1">
        <v>46230</v>
      </c>
      <c r="I715">
        <v>0.63</v>
      </c>
      <c r="J715">
        <v>0</v>
      </c>
      <c r="K715">
        <v>50</v>
      </c>
      <c r="L715">
        <v>0</v>
      </c>
      <c r="M715">
        <v>43.734604429110099</v>
      </c>
      <c r="N715">
        <v>1.929</v>
      </c>
      <c r="O715">
        <f>(Table1[[#This Row],[P]]&lt;&gt;0)*(Table1[[#This Row],[C]]&lt;&gt;0)</f>
        <v>0</v>
      </c>
      <c r="P715">
        <f>NETWORKDAYS(Table1[[#This Row],[ts_event]],Table1[[#This Row],[option_expiry_date]])</f>
        <v>57</v>
      </c>
      <c r="Q715">
        <f>Table1[[#This Row],[Column2]]/252</f>
        <v>0.22619047619047619</v>
      </c>
      <c r="R715" s="2" t="e">
        <f>IF(Table1[[#This Row],[CHECK2]]=0,NA(),
-(1/Table1[[#This Row],[T]])*LN((Table1[[#This Row],[S0]]-Table1[[#This Row],[C]]+Table1[[#This Row],[P]])/Table1[[#This Row],[K]])
)</f>
        <v>#N/A</v>
      </c>
    </row>
    <row r="716" spans="1:18">
      <c r="A716">
        <v>1</v>
      </c>
      <c r="B716" t="s">
        <v>10</v>
      </c>
      <c r="C716" s="1">
        <v>46150</v>
      </c>
      <c r="D716" t="s">
        <v>16</v>
      </c>
      <c r="E716">
        <v>33</v>
      </c>
      <c r="F716" t="s">
        <v>12</v>
      </c>
      <c r="G716" t="s">
        <v>13</v>
      </c>
      <c r="H716" s="1">
        <v>46230</v>
      </c>
      <c r="I716">
        <v>0.89499999999999902</v>
      </c>
      <c r="J716">
        <v>0</v>
      </c>
      <c r="K716">
        <v>10</v>
      </c>
      <c r="L716">
        <v>0</v>
      </c>
      <c r="M716">
        <v>43.734604429110099</v>
      </c>
      <c r="N716">
        <v>1.929</v>
      </c>
      <c r="O716">
        <f>(Table1[[#This Row],[P]]&lt;&gt;0)*(Table1[[#This Row],[C]]&lt;&gt;0)</f>
        <v>0</v>
      </c>
      <c r="P716">
        <f>NETWORKDAYS(Table1[[#This Row],[ts_event]],Table1[[#This Row],[option_expiry_date]])</f>
        <v>57</v>
      </c>
      <c r="Q716">
        <f>Table1[[#This Row],[Column2]]/252</f>
        <v>0.22619047619047619</v>
      </c>
      <c r="R716" s="2" t="e">
        <f>IF(Table1[[#This Row],[CHECK2]]=0,NA(),
-(1/Table1[[#This Row],[T]])*LN((Table1[[#This Row],[S0]]-Table1[[#This Row],[C]]+Table1[[#This Row],[P]])/Table1[[#This Row],[K]])
)</f>
        <v>#N/A</v>
      </c>
    </row>
    <row r="717" spans="1:18">
      <c r="A717">
        <v>1</v>
      </c>
      <c r="B717" t="s">
        <v>10</v>
      </c>
      <c r="C717" s="1">
        <v>46150</v>
      </c>
      <c r="D717" t="s">
        <v>16</v>
      </c>
      <c r="E717">
        <v>38</v>
      </c>
      <c r="F717" t="s">
        <v>12</v>
      </c>
      <c r="G717" t="s">
        <v>13</v>
      </c>
      <c r="H717" s="1">
        <v>46230</v>
      </c>
      <c r="I717">
        <v>2.63</v>
      </c>
      <c r="J717">
        <v>0</v>
      </c>
      <c r="K717">
        <v>1050</v>
      </c>
      <c r="L717">
        <v>0</v>
      </c>
      <c r="M717">
        <v>43.734604429110099</v>
      </c>
      <c r="N717">
        <v>1.929</v>
      </c>
      <c r="O717">
        <f>(Table1[[#This Row],[P]]&lt;&gt;0)*(Table1[[#This Row],[C]]&lt;&gt;0)</f>
        <v>0</v>
      </c>
      <c r="P717">
        <f>NETWORKDAYS(Table1[[#This Row],[ts_event]],Table1[[#This Row],[option_expiry_date]])</f>
        <v>57</v>
      </c>
      <c r="Q717">
        <f>Table1[[#This Row],[Column2]]/252</f>
        <v>0.22619047619047619</v>
      </c>
      <c r="R717" s="2" t="e">
        <f>IF(Table1[[#This Row],[CHECK2]]=0,NA(),
-(1/Table1[[#This Row],[T]])*LN((Table1[[#This Row],[S0]]-Table1[[#This Row],[C]]+Table1[[#This Row],[P]])/Table1[[#This Row],[K]])
)</f>
        <v>#N/A</v>
      </c>
    </row>
    <row r="718" spans="1:18">
      <c r="A718">
        <v>1</v>
      </c>
      <c r="B718" t="s">
        <v>10</v>
      </c>
      <c r="C718" s="1">
        <v>46150</v>
      </c>
      <c r="D718" t="s">
        <v>16</v>
      </c>
      <c r="E718">
        <v>125</v>
      </c>
      <c r="F718" t="s">
        <v>12</v>
      </c>
      <c r="G718" t="s">
        <v>13</v>
      </c>
      <c r="H718" s="1">
        <v>46230</v>
      </c>
      <c r="I718">
        <v>0</v>
      </c>
      <c r="J718">
        <v>0.5</v>
      </c>
      <c r="K718">
        <v>0</v>
      </c>
      <c r="L718">
        <v>25</v>
      </c>
      <c r="M718">
        <v>43.734604429110099</v>
      </c>
      <c r="N718">
        <v>1.929</v>
      </c>
      <c r="O718">
        <f>(Table1[[#This Row],[P]]&lt;&gt;0)*(Table1[[#This Row],[C]]&lt;&gt;0)</f>
        <v>0</v>
      </c>
      <c r="P718">
        <f>NETWORKDAYS(Table1[[#This Row],[ts_event]],Table1[[#This Row],[option_expiry_date]])</f>
        <v>57</v>
      </c>
      <c r="Q718">
        <f>Table1[[#This Row],[Column2]]/252</f>
        <v>0.22619047619047619</v>
      </c>
      <c r="R718" s="2" t="e">
        <f>IF(Table1[[#This Row],[CHECK2]]=0,NA(),
-(1/Table1[[#This Row],[T]])*LN((Table1[[#This Row],[S0]]-Table1[[#This Row],[C]]+Table1[[#This Row],[P]])/Table1[[#This Row],[K]])
)</f>
        <v>#N/A</v>
      </c>
    </row>
    <row r="719" spans="1:18">
      <c r="A719">
        <v>1</v>
      </c>
      <c r="B719" t="s">
        <v>10</v>
      </c>
      <c r="C719" s="1">
        <v>46150</v>
      </c>
      <c r="D719" t="s">
        <v>17</v>
      </c>
      <c r="E719">
        <v>35</v>
      </c>
      <c r="F719" t="s">
        <v>12</v>
      </c>
      <c r="G719" t="s">
        <v>13</v>
      </c>
      <c r="H719" s="1">
        <v>46260</v>
      </c>
      <c r="I719">
        <v>1.82</v>
      </c>
      <c r="J719">
        <v>0</v>
      </c>
      <c r="K719">
        <v>350</v>
      </c>
      <c r="L719">
        <v>0</v>
      </c>
      <c r="M719">
        <v>43.833686440677901</v>
      </c>
      <c r="N719">
        <v>1.929</v>
      </c>
      <c r="O719">
        <f>(Table1[[#This Row],[P]]&lt;&gt;0)*(Table1[[#This Row],[C]]&lt;&gt;0)</f>
        <v>0</v>
      </c>
      <c r="P719">
        <f>NETWORKDAYS(Table1[[#This Row],[ts_event]],Table1[[#This Row],[option_expiry_date]])</f>
        <v>79</v>
      </c>
      <c r="Q719">
        <f>Table1[[#This Row],[Column2]]/252</f>
        <v>0.31349206349206349</v>
      </c>
      <c r="R719" s="2" t="e">
        <f>IF(Table1[[#This Row],[CHECK2]]=0,NA(),
-(1/Table1[[#This Row],[T]])*LN((Table1[[#This Row],[S0]]-Table1[[#This Row],[C]]+Table1[[#This Row],[P]])/Table1[[#This Row],[K]])
)</f>
        <v>#N/A</v>
      </c>
    </row>
    <row r="720" spans="1:18">
      <c r="A720">
        <v>2</v>
      </c>
      <c r="B720" t="s">
        <v>10</v>
      </c>
      <c r="C720" s="1">
        <v>46150</v>
      </c>
      <c r="D720" t="s">
        <v>17</v>
      </c>
      <c r="E720">
        <v>50</v>
      </c>
      <c r="F720" t="s">
        <v>12</v>
      </c>
      <c r="G720" t="s">
        <v>13</v>
      </c>
      <c r="H720" s="1">
        <v>46260</v>
      </c>
      <c r="I720">
        <v>0</v>
      </c>
      <c r="J720">
        <v>5.3526506024096303</v>
      </c>
      <c r="K720">
        <v>0</v>
      </c>
      <c r="L720">
        <v>2075</v>
      </c>
      <c r="M720">
        <v>43.833686440677901</v>
      </c>
      <c r="N720">
        <v>1.929</v>
      </c>
      <c r="O720">
        <f>(Table1[[#This Row],[P]]&lt;&gt;0)*(Table1[[#This Row],[C]]&lt;&gt;0)</f>
        <v>0</v>
      </c>
      <c r="P720">
        <f>NETWORKDAYS(Table1[[#This Row],[ts_event]],Table1[[#This Row],[option_expiry_date]])</f>
        <v>79</v>
      </c>
      <c r="Q720">
        <f>Table1[[#This Row],[Column2]]/252</f>
        <v>0.31349206349206349</v>
      </c>
      <c r="R720" s="2" t="e">
        <f>IF(Table1[[#This Row],[CHECK2]]=0,NA(),
-(1/Table1[[#This Row],[T]])*LN((Table1[[#This Row],[S0]]-Table1[[#This Row],[C]]+Table1[[#This Row],[P]])/Table1[[#This Row],[K]])
)</f>
        <v>#N/A</v>
      </c>
    </row>
    <row r="721" spans="1:18">
      <c r="A721">
        <v>1</v>
      </c>
      <c r="B721" t="s">
        <v>10</v>
      </c>
      <c r="C721" s="1">
        <v>46150</v>
      </c>
      <c r="D721" t="s">
        <v>17</v>
      </c>
      <c r="E721">
        <v>60</v>
      </c>
      <c r="F721" t="s">
        <v>12</v>
      </c>
      <c r="G721" t="s">
        <v>13</v>
      </c>
      <c r="H721" s="1">
        <v>46260</v>
      </c>
      <c r="I721">
        <v>0</v>
      </c>
      <c r="J721">
        <v>3.75</v>
      </c>
      <c r="K721">
        <v>0</v>
      </c>
      <c r="L721">
        <v>2600</v>
      </c>
      <c r="M721">
        <v>43.833686440677901</v>
      </c>
      <c r="N721">
        <v>1.929</v>
      </c>
      <c r="O721">
        <f>(Table1[[#This Row],[P]]&lt;&gt;0)*(Table1[[#This Row],[C]]&lt;&gt;0)</f>
        <v>0</v>
      </c>
      <c r="P721">
        <f>NETWORKDAYS(Table1[[#This Row],[ts_event]],Table1[[#This Row],[option_expiry_date]])</f>
        <v>79</v>
      </c>
      <c r="Q721">
        <f>Table1[[#This Row],[Column2]]/252</f>
        <v>0.31349206349206349</v>
      </c>
      <c r="R721" s="2" t="e">
        <f>IF(Table1[[#This Row],[CHECK2]]=0,NA(),
-(1/Table1[[#This Row],[T]])*LN((Table1[[#This Row],[S0]]-Table1[[#This Row],[C]]+Table1[[#This Row],[P]])/Table1[[#This Row],[K]])
)</f>
        <v>#N/A</v>
      </c>
    </row>
    <row r="722" spans="1:18">
      <c r="A722">
        <v>1</v>
      </c>
      <c r="B722" t="s">
        <v>10</v>
      </c>
      <c r="C722" s="1">
        <v>46150</v>
      </c>
      <c r="D722" t="s">
        <v>17</v>
      </c>
      <c r="E722">
        <v>70</v>
      </c>
      <c r="F722" t="s">
        <v>12</v>
      </c>
      <c r="G722" t="s">
        <v>13</v>
      </c>
      <c r="H722" s="1">
        <v>46260</v>
      </c>
      <c r="I722">
        <v>0</v>
      </c>
      <c r="J722">
        <v>2.77</v>
      </c>
      <c r="K722">
        <v>0</v>
      </c>
      <c r="L722">
        <v>100</v>
      </c>
      <c r="M722">
        <v>43.833686440677901</v>
      </c>
      <c r="N722">
        <v>1.929</v>
      </c>
      <c r="O722">
        <f>(Table1[[#This Row],[P]]&lt;&gt;0)*(Table1[[#This Row],[C]]&lt;&gt;0)</f>
        <v>0</v>
      </c>
      <c r="P722">
        <f>NETWORKDAYS(Table1[[#This Row],[ts_event]],Table1[[#This Row],[option_expiry_date]])</f>
        <v>79</v>
      </c>
      <c r="Q722">
        <f>Table1[[#This Row],[Column2]]/252</f>
        <v>0.31349206349206349</v>
      </c>
      <c r="R722" s="2" t="e">
        <f>IF(Table1[[#This Row],[CHECK2]]=0,NA(),
-(1/Table1[[#This Row],[T]])*LN((Table1[[#This Row],[S0]]-Table1[[#This Row],[C]]+Table1[[#This Row],[P]])/Table1[[#This Row],[K]])
)</f>
        <v>#N/A</v>
      </c>
    </row>
    <row r="723" spans="1:18">
      <c r="A723">
        <v>1</v>
      </c>
      <c r="B723" t="s">
        <v>10</v>
      </c>
      <c r="C723" s="1">
        <v>46150</v>
      </c>
      <c r="D723" t="s">
        <v>17</v>
      </c>
      <c r="E723">
        <v>90</v>
      </c>
      <c r="F723" t="s">
        <v>12</v>
      </c>
      <c r="G723" t="s">
        <v>13</v>
      </c>
      <c r="H723" s="1">
        <v>46260</v>
      </c>
      <c r="I723">
        <v>0</v>
      </c>
      <c r="J723">
        <v>1.55</v>
      </c>
      <c r="K723">
        <v>0</v>
      </c>
      <c r="L723">
        <v>250</v>
      </c>
      <c r="M723">
        <v>43.833686440677901</v>
      </c>
      <c r="N723">
        <v>1.929</v>
      </c>
      <c r="O723">
        <f>(Table1[[#This Row],[P]]&lt;&gt;0)*(Table1[[#This Row],[C]]&lt;&gt;0)</f>
        <v>0</v>
      </c>
      <c r="P723">
        <f>NETWORKDAYS(Table1[[#This Row],[ts_event]],Table1[[#This Row],[option_expiry_date]])</f>
        <v>79</v>
      </c>
      <c r="Q723">
        <f>Table1[[#This Row],[Column2]]/252</f>
        <v>0.31349206349206349</v>
      </c>
      <c r="R723" s="2" t="e">
        <f>IF(Table1[[#This Row],[CHECK2]]=0,NA(),
-(1/Table1[[#This Row],[T]])*LN((Table1[[#This Row],[S0]]-Table1[[#This Row],[C]]+Table1[[#This Row],[P]])/Table1[[#This Row],[K]])
)</f>
        <v>#N/A</v>
      </c>
    </row>
    <row r="724" spans="1:18">
      <c r="A724">
        <v>1</v>
      </c>
      <c r="B724" t="s">
        <v>10</v>
      </c>
      <c r="C724" s="1">
        <v>46150</v>
      </c>
      <c r="D724" t="s">
        <v>18</v>
      </c>
      <c r="E724">
        <v>31</v>
      </c>
      <c r="F724" t="s">
        <v>12</v>
      </c>
      <c r="G724" t="s">
        <v>13</v>
      </c>
      <c r="H724" s="1">
        <v>46290</v>
      </c>
      <c r="I724">
        <v>0.95</v>
      </c>
      <c r="J724">
        <v>0</v>
      </c>
      <c r="K724">
        <v>800</v>
      </c>
      <c r="L724">
        <v>0</v>
      </c>
      <c r="M724">
        <v>43.591330552358997</v>
      </c>
      <c r="N724">
        <v>1.929</v>
      </c>
      <c r="O724">
        <f>(Table1[[#This Row],[P]]&lt;&gt;0)*(Table1[[#This Row],[C]]&lt;&gt;0)</f>
        <v>0</v>
      </c>
      <c r="P724">
        <f>NETWORKDAYS(Table1[[#This Row],[ts_event]],Table1[[#This Row],[option_expiry_date]])</f>
        <v>101</v>
      </c>
      <c r="Q724">
        <f>Table1[[#This Row],[Column2]]/252</f>
        <v>0.40079365079365081</v>
      </c>
      <c r="R724" s="2" t="e">
        <f>IF(Table1[[#This Row],[CHECK2]]=0,NA(),
-(1/Table1[[#This Row],[T]])*LN((Table1[[#This Row],[S0]]-Table1[[#This Row],[C]]+Table1[[#This Row],[P]])/Table1[[#This Row],[K]])
)</f>
        <v>#N/A</v>
      </c>
    </row>
    <row r="725" spans="1:18">
      <c r="A725">
        <v>1</v>
      </c>
      <c r="B725" t="s">
        <v>10</v>
      </c>
      <c r="C725" s="1">
        <v>46150</v>
      </c>
      <c r="D725" t="s">
        <v>18</v>
      </c>
      <c r="E725">
        <v>35</v>
      </c>
      <c r="F725" t="s">
        <v>12</v>
      </c>
      <c r="G725" t="s">
        <v>13</v>
      </c>
      <c r="H725" s="1">
        <v>46290</v>
      </c>
      <c r="I725">
        <v>2.2250000000000001</v>
      </c>
      <c r="J725">
        <v>0</v>
      </c>
      <c r="K725">
        <v>750</v>
      </c>
      <c r="L725">
        <v>0</v>
      </c>
      <c r="M725">
        <v>43.591330552358997</v>
      </c>
      <c r="N725">
        <v>1.929</v>
      </c>
      <c r="O725">
        <f>(Table1[[#This Row],[P]]&lt;&gt;0)*(Table1[[#This Row],[C]]&lt;&gt;0)</f>
        <v>0</v>
      </c>
      <c r="P725">
        <f>NETWORKDAYS(Table1[[#This Row],[ts_event]],Table1[[#This Row],[option_expiry_date]])</f>
        <v>101</v>
      </c>
      <c r="Q725">
        <f>Table1[[#This Row],[Column2]]/252</f>
        <v>0.40079365079365081</v>
      </c>
      <c r="R725" s="2" t="e">
        <f>IF(Table1[[#This Row],[CHECK2]]=0,NA(),
-(1/Table1[[#This Row],[T]])*LN((Table1[[#This Row],[S0]]-Table1[[#This Row],[C]]+Table1[[#This Row],[P]])/Table1[[#This Row],[K]])
)</f>
        <v>#N/A</v>
      </c>
    </row>
    <row r="726" spans="1:18">
      <c r="A726">
        <v>1</v>
      </c>
      <c r="B726" t="s">
        <v>10</v>
      </c>
      <c r="C726" s="1">
        <v>46150</v>
      </c>
      <c r="D726" t="s">
        <v>18</v>
      </c>
      <c r="E726">
        <v>45</v>
      </c>
      <c r="F726" t="s">
        <v>12</v>
      </c>
      <c r="G726" t="s">
        <v>13</v>
      </c>
      <c r="H726" s="1">
        <v>46290</v>
      </c>
      <c r="I726">
        <v>0</v>
      </c>
      <c r="J726">
        <v>7</v>
      </c>
      <c r="K726">
        <v>0</v>
      </c>
      <c r="L726">
        <v>475</v>
      </c>
      <c r="M726">
        <v>43.591330552358997</v>
      </c>
      <c r="N726">
        <v>1.929</v>
      </c>
      <c r="O726">
        <f>(Table1[[#This Row],[P]]&lt;&gt;0)*(Table1[[#This Row],[C]]&lt;&gt;0)</f>
        <v>0</v>
      </c>
      <c r="P726">
        <f>NETWORKDAYS(Table1[[#This Row],[ts_event]],Table1[[#This Row],[option_expiry_date]])</f>
        <v>101</v>
      </c>
      <c r="Q726">
        <f>Table1[[#This Row],[Column2]]/252</f>
        <v>0.40079365079365081</v>
      </c>
      <c r="R726" s="2" t="e">
        <f>IF(Table1[[#This Row],[CHECK2]]=0,NA(),
-(1/Table1[[#This Row],[T]])*LN((Table1[[#This Row],[S0]]-Table1[[#This Row],[C]]+Table1[[#This Row],[P]])/Table1[[#This Row],[K]])
)</f>
        <v>#N/A</v>
      </c>
    </row>
    <row r="727" spans="1:18">
      <c r="A727">
        <v>1</v>
      </c>
      <c r="B727" t="s">
        <v>10</v>
      </c>
      <c r="C727" s="1">
        <v>46150</v>
      </c>
      <c r="D727" t="s">
        <v>18</v>
      </c>
      <c r="E727">
        <v>55</v>
      </c>
      <c r="F727" t="s">
        <v>12</v>
      </c>
      <c r="G727" t="s">
        <v>13</v>
      </c>
      <c r="H727" s="1">
        <v>46290</v>
      </c>
      <c r="I727">
        <v>0</v>
      </c>
      <c r="J727">
        <v>4.8849999999999998</v>
      </c>
      <c r="K727">
        <v>0</v>
      </c>
      <c r="L727">
        <v>200</v>
      </c>
      <c r="M727">
        <v>43.591330552358997</v>
      </c>
      <c r="N727">
        <v>1.929</v>
      </c>
      <c r="O727">
        <f>(Table1[[#This Row],[P]]&lt;&gt;0)*(Table1[[#This Row],[C]]&lt;&gt;0)</f>
        <v>0</v>
      </c>
      <c r="P727">
        <f>NETWORKDAYS(Table1[[#This Row],[ts_event]],Table1[[#This Row],[option_expiry_date]])</f>
        <v>101</v>
      </c>
      <c r="Q727">
        <f>Table1[[#This Row],[Column2]]/252</f>
        <v>0.40079365079365081</v>
      </c>
      <c r="R727" s="2" t="e">
        <f>IF(Table1[[#This Row],[CHECK2]]=0,NA(),
-(1/Table1[[#This Row],[T]])*LN((Table1[[#This Row],[S0]]-Table1[[#This Row],[C]]+Table1[[#This Row],[P]])/Table1[[#This Row],[K]])
)</f>
        <v>#N/A</v>
      </c>
    </row>
    <row r="728" spans="1:18">
      <c r="A728">
        <v>1</v>
      </c>
      <c r="B728" t="s">
        <v>10</v>
      </c>
      <c r="C728" s="1">
        <v>46150</v>
      </c>
      <c r="D728" t="s">
        <v>18</v>
      </c>
      <c r="E728">
        <v>65</v>
      </c>
      <c r="F728" t="s">
        <v>12</v>
      </c>
      <c r="G728" t="s">
        <v>13</v>
      </c>
      <c r="H728" s="1">
        <v>46290</v>
      </c>
      <c r="I728">
        <v>0</v>
      </c>
      <c r="J728">
        <v>3.59</v>
      </c>
      <c r="K728">
        <v>0</v>
      </c>
      <c r="L728">
        <v>200</v>
      </c>
      <c r="M728">
        <v>43.591330552358997</v>
      </c>
      <c r="N728">
        <v>1.929</v>
      </c>
      <c r="O728">
        <f>(Table1[[#This Row],[P]]&lt;&gt;0)*(Table1[[#This Row],[C]]&lt;&gt;0)</f>
        <v>0</v>
      </c>
      <c r="P728">
        <f>NETWORKDAYS(Table1[[#This Row],[ts_event]],Table1[[#This Row],[option_expiry_date]])</f>
        <v>101</v>
      </c>
      <c r="Q728">
        <f>Table1[[#This Row],[Column2]]/252</f>
        <v>0.40079365079365081</v>
      </c>
      <c r="R728" s="2" t="e">
        <f>IF(Table1[[#This Row],[CHECK2]]=0,NA(),
-(1/Table1[[#This Row],[T]])*LN((Table1[[#This Row],[S0]]-Table1[[#This Row],[C]]+Table1[[#This Row],[P]])/Table1[[#This Row],[K]])
)</f>
        <v>#N/A</v>
      </c>
    </row>
    <row r="729" spans="1:18">
      <c r="A729">
        <v>1</v>
      </c>
      <c r="B729" t="s">
        <v>10</v>
      </c>
      <c r="C729" s="1">
        <v>46150</v>
      </c>
      <c r="D729" t="s">
        <v>24</v>
      </c>
      <c r="E729">
        <v>25</v>
      </c>
      <c r="F729" t="s">
        <v>12</v>
      </c>
      <c r="G729" t="s">
        <v>13</v>
      </c>
      <c r="H729" s="1">
        <v>46414</v>
      </c>
      <c r="I729">
        <v>0.85</v>
      </c>
      <c r="J729">
        <v>0</v>
      </c>
      <c r="K729">
        <v>57</v>
      </c>
      <c r="L729">
        <v>0</v>
      </c>
      <c r="M729">
        <v>42.406064116379298</v>
      </c>
      <c r="N729">
        <v>1.929</v>
      </c>
      <c r="O729">
        <f>(Table1[[#This Row],[P]]&lt;&gt;0)*(Table1[[#This Row],[C]]&lt;&gt;0)</f>
        <v>0</v>
      </c>
      <c r="P729">
        <f>NETWORKDAYS(Table1[[#This Row],[ts_event]],Table1[[#This Row],[option_expiry_date]])</f>
        <v>189</v>
      </c>
      <c r="Q729">
        <f>Table1[[#This Row],[Column2]]/252</f>
        <v>0.75</v>
      </c>
      <c r="R729" s="2" t="e">
        <f>IF(Table1[[#This Row],[CHECK2]]=0,NA(),
-(1/Table1[[#This Row],[T]])*LN((Table1[[#This Row],[S0]]-Table1[[#This Row],[C]]+Table1[[#This Row],[P]])/Table1[[#This Row],[K]])
)</f>
        <v>#N/A</v>
      </c>
    </row>
    <row r="730" spans="1:18">
      <c r="A730">
        <v>1</v>
      </c>
      <c r="B730" t="s">
        <v>10</v>
      </c>
      <c r="C730" s="1">
        <v>46150</v>
      </c>
      <c r="D730" t="s">
        <v>24</v>
      </c>
      <c r="E730">
        <v>35</v>
      </c>
      <c r="F730" t="s">
        <v>12</v>
      </c>
      <c r="G730" t="s">
        <v>13</v>
      </c>
      <c r="H730" s="1">
        <v>46414</v>
      </c>
      <c r="I730">
        <v>4.3250000000000002</v>
      </c>
      <c r="J730">
        <v>0</v>
      </c>
      <c r="K730">
        <v>57</v>
      </c>
      <c r="L730">
        <v>0</v>
      </c>
      <c r="M730">
        <v>42.406064116379298</v>
      </c>
      <c r="N730">
        <v>1.929</v>
      </c>
      <c r="O730">
        <f>(Table1[[#This Row],[P]]&lt;&gt;0)*(Table1[[#This Row],[C]]&lt;&gt;0)</f>
        <v>0</v>
      </c>
      <c r="P730">
        <f>NETWORKDAYS(Table1[[#This Row],[ts_event]],Table1[[#This Row],[option_expiry_date]])</f>
        <v>189</v>
      </c>
      <c r="Q730">
        <f>Table1[[#This Row],[Column2]]/252</f>
        <v>0.75</v>
      </c>
      <c r="R730" s="2" t="e">
        <f>IF(Table1[[#This Row],[CHECK2]]=0,NA(),
-(1/Table1[[#This Row],[T]])*LN((Table1[[#This Row],[S0]]-Table1[[#This Row],[C]]+Table1[[#This Row],[P]])/Table1[[#This Row],[K]])
)</f>
        <v>#N/A</v>
      </c>
    </row>
    <row r="731" spans="1:18">
      <c r="A731">
        <v>1</v>
      </c>
      <c r="B731" t="s">
        <v>10</v>
      </c>
      <c r="C731" s="1">
        <v>46150</v>
      </c>
      <c r="D731" t="s">
        <v>24</v>
      </c>
      <c r="E731">
        <v>55</v>
      </c>
      <c r="F731" t="s">
        <v>12</v>
      </c>
      <c r="G731" t="s">
        <v>13</v>
      </c>
      <c r="H731" s="1">
        <v>46414</v>
      </c>
      <c r="I731">
        <v>0</v>
      </c>
      <c r="J731">
        <v>7.3099999999999898</v>
      </c>
      <c r="K731">
        <v>0</v>
      </c>
      <c r="L731">
        <v>153</v>
      </c>
      <c r="M731">
        <v>42.406064116379298</v>
      </c>
      <c r="N731">
        <v>1.929</v>
      </c>
      <c r="O731">
        <f>(Table1[[#This Row],[P]]&lt;&gt;0)*(Table1[[#This Row],[C]]&lt;&gt;0)</f>
        <v>0</v>
      </c>
      <c r="P731">
        <f>NETWORKDAYS(Table1[[#This Row],[ts_event]],Table1[[#This Row],[option_expiry_date]])</f>
        <v>189</v>
      </c>
      <c r="Q731">
        <f>Table1[[#This Row],[Column2]]/252</f>
        <v>0.75</v>
      </c>
      <c r="R731" s="2" t="e">
        <f>IF(Table1[[#This Row],[CHECK2]]=0,NA(),
-(1/Table1[[#This Row],[T]])*LN((Table1[[#This Row],[S0]]-Table1[[#This Row],[C]]+Table1[[#This Row],[P]])/Table1[[#This Row],[K]])
)</f>
        <v>#N/A</v>
      </c>
    </row>
    <row r="732" spans="1:18">
      <c r="A732">
        <v>1</v>
      </c>
      <c r="B732" t="s">
        <v>10</v>
      </c>
      <c r="C732" s="1">
        <v>46150</v>
      </c>
      <c r="D732" t="s">
        <v>24</v>
      </c>
      <c r="E732">
        <v>65</v>
      </c>
      <c r="F732" t="s">
        <v>12</v>
      </c>
      <c r="G732" t="s">
        <v>13</v>
      </c>
      <c r="H732" s="1">
        <v>46414</v>
      </c>
      <c r="I732">
        <v>0</v>
      </c>
      <c r="J732">
        <v>6.0149999999999997</v>
      </c>
      <c r="K732">
        <v>0</v>
      </c>
      <c r="L732">
        <v>153</v>
      </c>
      <c r="M732">
        <v>42.406064116379298</v>
      </c>
      <c r="N732">
        <v>1.929</v>
      </c>
      <c r="O732">
        <f>(Table1[[#This Row],[P]]&lt;&gt;0)*(Table1[[#This Row],[C]]&lt;&gt;0)</f>
        <v>0</v>
      </c>
      <c r="P732">
        <f>NETWORKDAYS(Table1[[#This Row],[ts_event]],Table1[[#This Row],[option_expiry_date]])</f>
        <v>189</v>
      </c>
      <c r="Q732">
        <f>Table1[[#This Row],[Column2]]/252</f>
        <v>0.75</v>
      </c>
      <c r="R732" s="2" t="e">
        <f>IF(Table1[[#This Row],[CHECK2]]=0,NA(),
-(1/Table1[[#This Row],[T]])*LN((Table1[[#This Row],[S0]]-Table1[[#This Row],[C]]+Table1[[#This Row],[P]])/Table1[[#This Row],[K]])
)</f>
        <v>#N/A</v>
      </c>
    </row>
    <row r="733" spans="1:18">
      <c r="A733">
        <v>1</v>
      </c>
      <c r="B733" t="s">
        <v>10</v>
      </c>
      <c r="C733" s="1">
        <v>46153</v>
      </c>
      <c r="D733" t="s">
        <v>14</v>
      </c>
      <c r="E733">
        <v>33</v>
      </c>
      <c r="F733" t="s">
        <v>12</v>
      </c>
      <c r="G733" t="s">
        <v>13</v>
      </c>
      <c r="H733" s="1">
        <v>46169</v>
      </c>
      <c r="I733">
        <v>0.06</v>
      </c>
      <c r="J733">
        <v>0</v>
      </c>
      <c r="K733">
        <v>250</v>
      </c>
      <c r="L733">
        <v>0</v>
      </c>
      <c r="M733">
        <v>46.696089135469599</v>
      </c>
      <c r="N733">
        <v>1.931</v>
      </c>
      <c r="O733">
        <f>(Table1[[#This Row],[P]]&lt;&gt;0)*(Table1[[#This Row],[C]]&lt;&gt;0)</f>
        <v>0</v>
      </c>
      <c r="P733">
        <f>NETWORKDAYS(Table1[[#This Row],[ts_event]],Table1[[#This Row],[option_expiry_date]])</f>
        <v>13</v>
      </c>
      <c r="Q733">
        <f>Table1[[#This Row],[Column2]]/252</f>
        <v>5.1587301587301584E-2</v>
      </c>
      <c r="R733" s="2" t="e">
        <f>IF(Table1[[#This Row],[CHECK2]]=0,NA(),
-(1/Table1[[#This Row],[T]])*LN((Table1[[#This Row],[S0]]-Table1[[#This Row],[C]]+Table1[[#This Row],[P]])/Table1[[#This Row],[K]])
)</f>
        <v>#N/A</v>
      </c>
    </row>
    <row r="734" spans="1:18">
      <c r="A734">
        <v>2</v>
      </c>
      <c r="B734" t="s">
        <v>10</v>
      </c>
      <c r="C734" s="1">
        <v>46153</v>
      </c>
      <c r="D734" t="s">
        <v>14</v>
      </c>
      <c r="E734">
        <v>35</v>
      </c>
      <c r="F734" t="s">
        <v>12</v>
      </c>
      <c r="G734" t="s">
        <v>13</v>
      </c>
      <c r="H734" s="1">
        <v>46169</v>
      </c>
      <c r="I734">
        <v>0.119253731343283</v>
      </c>
      <c r="J734">
        <v>0</v>
      </c>
      <c r="K734">
        <v>3350</v>
      </c>
      <c r="L734">
        <v>0</v>
      </c>
      <c r="M734">
        <v>46.696089135469599</v>
      </c>
      <c r="N734">
        <v>1.931</v>
      </c>
      <c r="O734">
        <f>(Table1[[#This Row],[P]]&lt;&gt;0)*(Table1[[#This Row],[C]]&lt;&gt;0)</f>
        <v>0</v>
      </c>
      <c r="P734">
        <f>NETWORKDAYS(Table1[[#This Row],[ts_event]],Table1[[#This Row],[option_expiry_date]])</f>
        <v>13</v>
      </c>
      <c r="Q734">
        <f>Table1[[#This Row],[Column2]]/252</f>
        <v>5.1587301587301584E-2</v>
      </c>
      <c r="R734" s="2" t="e">
        <f>IF(Table1[[#This Row],[CHECK2]]=0,NA(),
-(1/Table1[[#This Row],[T]])*LN((Table1[[#This Row],[S0]]-Table1[[#This Row],[C]]+Table1[[#This Row],[P]])/Table1[[#This Row],[K]])
)</f>
        <v>#N/A</v>
      </c>
    </row>
    <row r="735" spans="1:18">
      <c r="A735">
        <v>1</v>
      </c>
      <c r="B735" t="s">
        <v>10</v>
      </c>
      <c r="C735" s="1">
        <v>46153</v>
      </c>
      <c r="D735" t="s">
        <v>14</v>
      </c>
      <c r="E735">
        <v>39</v>
      </c>
      <c r="F735" t="s">
        <v>12</v>
      </c>
      <c r="G735" t="s">
        <v>13</v>
      </c>
      <c r="H735" s="1">
        <v>46169</v>
      </c>
      <c r="I735">
        <v>0.57499999999999996</v>
      </c>
      <c r="J735">
        <v>0</v>
      </c>
      <c r="K735">
        <v>300</v>
      </c>
      <c r="L735">
        <v>0</v>
      </c>
      <c r="M735">
        <v>46.696089135469599</v>
      </c>
      <c r="N735">
        <v>1.931</v>
      </c>
      <c r="O735">
        <f>(Table1[[#This Row],[P]]&lt;&gt;0)*(Table1[[#This Row],[C]]&lt;&gt;0)</f>
        <v>0</v>
      </c>
      <c r="P735">
        <f>NETWORKDAYS(Table1[[#This Row],[ts_event]],Table1[[#This Row],[option_expiry_date]])</f>
        <v>13</v>
      </c>
      <c r="Q735">
        <f>Table1[[#This Row],[Column2]]/252</f>
        <v>5.1587301587301584E-2</v>
      </c>
      <c r="R735" s="2" t="e">
        <f>IF(Table1[[#This Row],[CHECK2]]=0,NA(),
-(1/Table1[[#This Row],[T]])*LN((Table1[[#This Row],[S0]]-Table1[[#This Row],[C]]+Table1[[#This Row],[P]])/Table1[[#This Row],[K]])
)</f>
        <v>#N/A</v>
      </c>
    </row>
    <row r="736" spans="1:18">
      <c r="A736">
        <v>3</v>
      </c>
      <c r="B736" t="s">
        <v>10</v>
      </c>
      <c r="C736" s="1">
        <v>46153</v>
      </c>
      <c r="D736" t="s">
        <v>14</v>
      </c>
      <c r="E736">
        <v>40</v>
      </c>
      <c r="F736" t="s">
        <v>12</v>
      </c>
      <c r="G736" t="s">
        <v>13</v>
      </c>
      <c r="H736" s="1">
        <v>46169</v>
      </c>
      <c r="I736">
        <v>0.72194656488549602</v>
      </c>
      <c r="J736">
        <v>6.85</v>
      </c>
      <c r="K736">
        <v>2620</v>
      </c>
      <c r="L736">
        <v>150</v>
      </c>
      <c r="M736">
        <v>46.696089135469599</v>
      </c>
      <c r="N736">
        <v>1.931</v>
      </c>
      <c r="O736">
        <f>(Table1[[#This Row],[P]]&lt;&gt;0)*(Table1[[#This Row],[C]]&lt;&gt;0)</f>
        <v>1</v>
      </c>
      <c r="P736">
        <f>NETWORKDAYS(Table1[[#This Row],[ts_event]],Table1[[#This Row],[option_expiry_date]])</f>
        <v>13</v>
      </c>
      <c r="Q736">
        <f>Table1[[#This Row],[Column2]]/252</f>
        <v>5.1587301587301584E-2</v>
      </c>
      <c r="R736" s="2">
        <f>IF(Table1[[#This Row],[CHECK2]]=0,NA(),
-(1/Table1[[#This Row],[T]])*LN((Table1[[#This Row],[S0]]-Table1[[#This Row],[C]]+Table1[[#This Row],[P]])/Table1[[#This Row],[K]])
)</f>
        <v>-0.27334254665808311</v>
      </c>
    </row>
    <row r="737" spans="1:18">
      <c r="A737">
        <v>2</v>
      </c>
      <c r="B737" t="s">
        <v>10</v>
      </c>
      <c r="C737" s="1">
        <v>46153</v>
      </c>
      <c r="D737" t="s">
        <v>14</v>
      </c>
      <c r="E737">
        <v>41</v>
      </c>
      <c r="F737" t="s">
        <v>12</v>
      </c>
      <c r="G737" t="s">
        <v>13</v>
      </c>
      <c r="H737" s="1">
        <v>46169</v>
      </c>
      <c r="I737">
        <v>1.0960000000000001</v>
      </c>
      <c r="J737">
        <v>0</v>
      </c>
      <c r="K737">
        <v>250</v>
      </c>
      <c r="L737">
        <v>0</v>
      </c>
      <c r="M737">
        <v>46.696089135469599</v>
      </c>
      <c r="N737">
        <v>1.931</v>
      </c>
      <c r="O737">
        <f>(Table1[[#This Row],[P]]&lt;&gt;0)*(Table1[[#This Row],[C]]&lt;&gt;0)</f>
        <v>0</v>
      </c>
      <c r="P737">
        <f>NETWORKDAYS(Table1[[#This Row],[ts_event]],Table1[[#This Row],[option_expiry_date]])</f>
        <v>13</v>
      </c>
      <c r="Q737">
        <f>Table1[[#This Row],[Column2]]/252</f>
        <v>5.1587301587301584E-2</v>
      </c>
      <c r="R737" s="2" t="e">
        <f>IF(Table1[[#This Row],[CHECK2]]=0,NA(),
-(1/Table1[[#This Row],[T]])*LN((Table1[[#This Row],[S0]]-Table1[[#This Row],[C]]+Table1[[#This Row],[P]])/Table1[[#This Row],[K]])
)</f>
        <v>#N/A</v>
      </c>
    </row>
    <row r="738" spans="1:18">
      <c r="A738">
        <v>1</v>
      </c>
      <c r="B738" t="s">
        <v>10</v>
      </c>
      <c r="C738" s="1">
        <v>46153</v>
      </c>
      <c r="D738" t="s">
        <v>14</v>
      </c>
      <c r="E738">
        <v>42</v>
      </c>
      <c r="F738" t="s">
        <v>12</v>
      </c>
      <c r="G738" t="s">
        <v>13</v>
      </c>
      <c r="H738" s="1">
        <v>46169</v>
      </c>
      <c r="I738">
        <v>1.48</v>
      </c>
      <c r="J738">
        <v>0</v>
      </c>
      <c r="K738">
        <v>325</v>
      </c>
      <c r="L738">
        <v>0</v>
      </c>
      <c r="M738">
        <v>46.696089135469599</v>
      </c>
      <c r="N738">
        <v>1.931</v>
      </c>
      <c r="O738">
        <f>(Table1[[#This Row],[P]]&lt;&gt;0)*(Table1[[#This Row],[C]]&lt;&gt;0)</f>
        <v>0</v>
      </c>
      <c r="P738">
        <f>NETWORKDAYS(Table1[[#This Row],[ts_event]],Table1[[#This Row],[option_expiry_date]])</f>
        <v>13</v>
      </c>
      <c r="Q738">
        <f>Table1[[#This Row],[Column2]]/252</f>
        <v>5.1587301587301584E-2</v>
      </c>
      <c r="R738" s="2" t="e">
        <f>IF(Table1[[#This Row],[CHECK2]]=0,NA(),
-(1/Table1[[#This Row],[T]])*LN((Table1[[#This Row],[S0]]-Table1[[#This Row],[C]]+Table1[[#This Row],[P]])/Table1[[#This Row],[K]])
)</f>
        <v>#N/A</v>
      </c>
    </row>
    <row r="739" spans="1:18">
      <c r="A739">
        <v>2</v>
      </c>
      <c r="B739" t="s">
        <v>10</v>
      </c>
      <c r="C739" s="1">
        <v>46153</v>
      </c>
      <c r="D739" t="s">
        <v>14</v>
      </c>
      <c r="E739">
        <v>44</v>
      </c>
      <c r="F739" t="s">
        <v>12</v>
      </c>
      <c r="G739" t="s">
        <v>13</v>
      </c>
      <c r="H739" s="1">
        <v>46169</v>
      </c>
      <c r="I739">
        <v>2.11666666666666</v>
      </c>
      <c r="J739">
        <v>0</v>
      </c>
      <c r="K739">
        <v>150</v>
      </c>
      <c r="L739">
        <v>0</v>
      </c>
      <c r="M739">
        <v>46.696089135469599</v>
      </c>
      <c r="N739">
        <v>1.931</v>
      </c>
      <c r="O739">
        <f>(Table1[[#This Row],[P]]&lt;&gt;0)*(Table1[[#This Row],[C]]&lt;&gt;0)</f>
        <v>0</v>
      </c>
      <c r="P739">
        <f>NETWORKDAYS(Table1[[#This Row],[ts_event]],Table1[[#This Row],[option_expiry_date]])</f>
        <v>13</v>
      </c>
      <c r="Q739">
        <f>Table1[[#This Row],[Column2]]/252</f>
        <v>5.1587301587301584E-2</v>
      </c>
      <c r="R739" s="2" t="e">
        <f>IF(Table1[[#This Row],[CHECK2]]=0,NA(),
-(1/Table1[[#This Row],[T]])*LN((Table1[[#This Row],[S0]]-Table1[[#This Row],[C]]+Table1[[#This Row],[P]])/Table1[[#This Row],[K]])
)</f>
        <v>#N/A</v>
      </c>
    </row>
    <row r="740" spans="1:18">
      <c r="A740">
        <v>1</v>
      </c>
      <c r="B740" t="s">
        <v>10</v>
      </c>
      <c r="C740" s="1">
        <v>46153</v>
      </c>
      <c r="D740" t="s">
        <v>14</v>
      </c>
      <c r="E740">
        <v>45</v>
      </c>
      <c r="F740" t="s">
        <v>12</v>
      </c>
      <c r="G740" t="s">
        <v>13</v>
      </c>
      <c r="H740" s="1">
        <v>46169</v>
      </c>
      <c r="I740">
        <v>0</v>
      </c>
      <c r="J740">
        <v>3.31</v>
      </c>
      <c r="K740">
        <v>0</v>
      </c>
      <c r="L740">
        <v>575</v>
      </c>
      <c r="M740">
        <v>46.696089135469599</v>
      </c>
      <c r="N740">
        <v>1.931</v>
      </c>
      <c r="O740">
        <f>(Table1[[#This Row],[P]]&lt;&gt;0)*(Table1[[#This Row],[C]]&lt;&gt;0)</f>
        <v>0</v>
      </c>
      <c r="P740">
        <f>NETWORKDAYS(Table1[[#This Row],[ts_event]],Table1[[#This Row],[option_expiry_date]])</f>
        <v>13</v>
      </c>
      <c r="Q740">
        <f>Table1[[#This Row],[Column2]]/252</f>
        <v>5.1587301587301584E-2</v>
      </c>
      <c r="R740" s="2" t="e">
        <f>IF(Table1[[#This Row],[CHECK2]]=0,NA(),
-(1/Table1[[#This Row],[T]])*LN((Table1[[#This Row],[S0]]-Table1[[#This Row],[C]]+Table1[[#This Row],[P]])/Table1[[#This Row],[K]])
)</f>
        <v>#N/A</v>
      </c>
    </row>
    <row r="741" spans="1:18">
      <c r="A741">
        <v>1</v>
      </c>
      <c r="B741" t="s">
        <v>10</v>
      </c>
      <c r="C741" s="1">
        <v>46153</v>
      </c>
      <c r="D741" t="s">
        <v>14</v>
      </c>
      <c r="E741">
        <v>46</v>
      </c>
      <c r="F741" t="s">
        <v>12</v>
      </c>
      <c r="G741" t="s">
        <v>13</v>
      </c>
      <c r="H741" s="1">
        <v>46169</v>
      </c>
      <c r="I741">
        <v>0</v>
      </c>
      <c r="J741">
        <v>3.41</v>
      </c>
      <c r="K741">
        <v>0</v>
      </c>
      <c r="L741">
        <v>175</v>
      </c>
      <c r="M741">
        <v>46.696089135469599</v>
      </c>
      <c r="N741">
        <v>1.931</v>
      </c>
      <c r="O741">
        <f>(Table1[[#This Row],[P]]&lt;&gt;0)*(Table1[[#This Row],[C]]&lt;&gt;0)</f>
        <v>0</v>
      </c>
      <c r="P741">
        <f>NETWORKDAYS(Table1[[#This Row],[ts_event]],Table1[[#This Row],[option_expiry_date]])</f>
        <v>13</v>
      </c>
      <c r="Q741">
        <f>Table1[[#This Row],[Column2]]/252</f>
        <v>5.1587301587301584E-2</v>
      </c>
      <c r="R741" s="2" t="e">
        <f>IF(Table1[[#This Row],[CHECK2]]=0,NA(),
-(1/Table1[[#This Row],[T]])*LN((Table1[[#This Row],[S0]]-Table1[[#This Row],[C]]+Table1[[#This Row],[P]])/Table1[[#This Row],[K]])
)</f>
        <v>#N/A</v>
      </c>
    </row>
    <row r="742" spans="1:18">
      <c r="A742">
        <v>2</v>
      </c>
      <c r="B742" t="s">
        <v>10</v>
      </c>
      <c r="C742" s="1">
        <v>46153</v>
      </c>
      <c r="D742" t="s">
        <v>14</v>
      </c>
      <c r="E742">
        <v>47</v>
      </c>
      <c r="F742" t="s">
        <v>12</v>
      </c>
      <c r="G742" t="s">
        <v>13</v>
      </c>
      <c r="H742" s="1">
        <v>46169</v>
      </c>
      <c r="I742">
        <v>3.79</v>
      </c>
      <c r="J742">
        <v>2.98</v>
      </c>
      <c r="K742">
        <v>50</v>
      </c>
      <c r="L742">
        <v>50</v>
      </c>
      <c r="M742">
        <v>46.696089135469599</v>
      </c>
      <c r="N742">
        <v>1.931</v>
      </c>
      <c r="O742">
        <f>(Table1[[#This Row],[P]]&lt;&gt;0)*(Table1[[#This Row],[C]]&lt;&gt;0)</f>
        <v>1</v>
      </c>
      <c r="P742">
        <f>NETWORKDAYS(Table1[[#This Row],[ts_event]],Table1[[#This Row],[option_expiry_date]])</f>
        <v>13</v>
      </c>
      <c r="Q742">
        <f>Table1[[#This Row],[Column2]]/252</f>
        <v>5.1587301587301584E-2</v>
      </c>
      <c r="R742" s="2">
        <f>IF(Table1[[#This Row],[CHECK2]]=0,NA(),
-(1/Table1[[#This Row],[T]])*LN((Table1[[#This Row],[S0]]-Table1[[#This Row],[C]]+Table1[[#This Row],[P]])/Table1[[#This Row],[K]])
)</f>
        <v>-0.20761491899617246</v>
      </c>
    </row>
    <row r="743" spans="1:18">
      <c r="A743">
        <v>1</v>
      </c>
      <c r="B743" t="s">
        <v>10</v>
      </c>
      <c r="C743" s="1">
        <v>46153</v>
      </c>
      <c r="D743" t="s">
        <v>14</v>
      </c>
      <c r="E743">
        <v>48</v>
      </c>
      <c r="F743" t="s">
        <v>12</v>
      </c>
      <c r="G743" t="s">
        <v>13</v>
      </c>
      <c r="H743" s="1">
        <v>46169</v>
      </c>
      <c r="I743">
        <v>0</v>
      </c>
      <c r="J743">
        <v>2.25</v>
      </c>
      <c r="K743">
        <v>0</v>
      </c>
      <c r="L743">
        <v>100</v>
      </c>
      <c r="M743">
        <v>46.696089135469599</v>
      </c>
      <c r="N743">
        <v>1.931</v>
      </c>
      <c r="O743">
        <f>(Table1[[#This Row],[P]]&lt;&gt;0)*(Table1[[#This Row],[C]]&lt;&gt;0)</f>
        <v>0</v>
      </c>
      <c r="P743">
        <f>NETWORKDAYS(Table1[[#This Row],[ts_event]],Table1[[#This Row],[option_expiry_date]])</f>
        <v>13</v>
      </c>
      <c r="Q743">
        <f>Table1[[#This Row],[Column2]]/252</f>
        <v>5.1587301587301584E-2</v>
      </c>
      <c r="R743" s="2" t="e">
        <f>IF(Table1[[#This Row],[CHECK2]]=0,NA(),
-(1/Table1[[#This Row],[T]])*LN((Table1[[#This Row],[S0]]-Table1[[#This Row],[C]]+Table1[[#This Row],[P]])/Table1[[#This Row],[K]])
)</f>
        <v>#N/A</v>
      </c>
    </row>
    <row r="744" spans="1:18">
      <c r="A744">
        <v>1</v>
      </c>
      <c r="B744" t="s">
        <v>10</v>
      </c>
      <c r="C744" s="1">
        <v>46153</v>
      </c>
      <c r="D744" t="s">
        <v>14</v>
      </c>
      <c r="E744">
        <v>50</v>
      </c>
      <c r="F744" t="s">
        <v>12</v>
      </c>
      <c r="G744" t="s">
        <v>13</v>
      </c>
      <c r="H744" s="1">
        <v>46169</v>
      </c>
      <c r="I744">
        <v>0</v>
      </c>
      <c r="J744">
        <v>2.1800000000000002</v>
      </c>
      <c r="K744">
        <v>0</v>
      </c>
      <c r="L744">
        <v>1040</v>
      </c>
      <c r="M744">
        <v>46.696089135469599</v>
      </c>
      <c r="N744">
        <v>1.931</v>
      </c>
      <c r="O744">
        <f>(Table1[[#This Row],[P]]&lt;&gt;0)*(Table1[[#This Row],[C]]&lt;&gt;0)</f>
        <v>0</v>
      </c>
      <c r="P744">
        <f>NETWORKDAYS(Table1[[#This Row],[ts_event]],Table1[[#This Row],[option_expiry_date]])</f>
        <v>13</v>
      </c>
      <c r="Q744">
        <f>Table1[[#This Row],[Column2]]/252</f>
        <v>5.1587301587301584E-2</v>
      </c>
      <c r="R744" s="2" t="e">
        <f>IF(Table1[[#This Row],[CHECK2]]=0,NA(),
-(1/Table1[[#This Row],[T]])*LN((Table1[[#This Row],[S0]]-Table1[[#This Row],[C]]+Table1[[#This Row],[P]])/Table1[[#This Row],[K]])
)</f>
        <v>#N/A</v>
      </c>
    </row>
    <row r="745" spans="1:18">
      <c r="A745">
        <v>1</v>
      </c>
      <c r="B745" t="s">
        <v>10</v>
      </c>
      <c r="C745" s="1">
        <v>46153</v>
      </c>
      <c r="D745" t="s">
        <v>14</v>
      </c>
      <c r="E745">
        <v>51</v>
      </c>
      <c r="F745" t="s">
        <v>12</v>
      </c>
      <c r="G745" t="s">
        <v>13</v>
      </c>
      <c r="H745" s="1">
        <v>46169</v>
      </c>
      <c r="I745">
        <v>0</v>
      </c>
      <c r="J745">
        <v>1.4550000000000001</v>
      </c>
      <c r="K745">
        <v>0</v>
      </c>
      <c r="L745">
        <v>25</v>
      </c>
      <c r="M745">
        <v>46.696089135469599</v>
      </c>
      <c r="N745">
        <v>1.931</v>
      </c>
      <c r="O745">
        <f>(Table1[[#This Row],[P]]&lt;&gt;0)*(Table1[[#This Row],[C]]&lt;&gt;0)</f>
        <v>0</v>
      </c>
      <c r="P745">
        <f>NETWORKDAYS(Table1[[#This Row],[ts_event]],Table1[[#This Row],[option_expiry_date]])</f>
        <v>13</v>
      </c>
      <c r="Q745">
        <f>Table1[[#This Row],[Column2]]/252</f>
        <v>5.1587301587301584E-2</v>
      </c>
      <c r="R745" s="2" t="e">
        <f>IF(Table1[[#This Row],[CHECK2]]=0,NA(),
-(1/Table1[[#This Row],[T]])*LN((Table1[[#This Row],[S0]]-Table1[[#This Row],[C]]+Table1[[#This Row],[P]])/Table1[[#This Row],[K]])
)</f>
        <v>#N/A</v>
      </c>
    </row>
    <row r="746" spans="1:18">
      <c r="A746">
        <v>1</v>
      </c>
      <c r="B746" t="s">
        <v>10</v>
      </c>
      <c r="C746" s="1">
        <v>46153</v>
      </c>
      <c r="D746" t="s">
        <v>14</v>
      </c>
      <c r="E746">
        <v>55</v>
      </c>
      <c r="F746" t="s">
        <v>12</v>
      </c>
      <c r="G746" t="s">
        <v>13</v>
      </c>
      <c r="H746" s="1">
        <v>46169</v>
      </c>
      <c r="I746">
        <v>0</v>
      </c>
      <c r="J746">
        <v>1.25</v>
      </c>
      <c r="K746">
        <v>0</v>
      </c>
      <c r="L746">
        <v>275</v>
      </c>
      <c r="M746">
        <v>46.696089135469599</v>
      </c>
      <c r="N746">
        <v>1.931</v>
      </c>
      <c r="O746">
        <f>(Table1[[#This Row],[P]]&lt;&gt;0)*(Table1[[#This Row],[C]]&lt;&gt;0)</f>
        <v>0</v>
      </c>
      <c r="P746">
        <f>NETWORKDAYS(Table1[[#This Row],[ts_event]],Table1[[#This Row],[option_expiry_date]])</f>
        <v>13</v>
      </c>
      <c r="Q746">
        <f>Table1[[#This Row],[Column2]]/252</f>
        <v>5.1587301587301584E-2</v>
      </c>
      <c r="R746" s="2" t="e">
        <f>IF(Table1[[#This Row],[CHECK2]]=0,NA(),
-(1/Table1[[#This Row],[T]])*LN((Table1[[#This Row],[S0]]-Table1[[#This Row],[C]]+Table1[[#This Row],[P]])/Table1[[#This Row],[K]])
)</f>
        <v>#N/A</v>
      </c>
    </row>
    <row r="747" spans="1:18">
      <c r="A747">
        <v>1</v>
      </c>
      <c r="B747" t="s">
        <v>10</v>
      </c>
      <c r="C747" s="1">
        <v>46153</v>
      </c>
      <c r="D747" t="s">
        <v>14</v>
      </c>
      <c r="E747">
        <v>57</v>
      </c>
      <c r="F747" t="s">
        <v>12</v>
      </c>
      <c r="G747" t="s">
        <v>13</v>
      </c>
      <c r="H747" s="1">
        <v>46169</v>
      </c>
      <c r="I747">
        <v>0</v>
      </c>
      <c r="J747">
        <v>0.79</v>
      </c>
      <c r="K747">
        <v>0</v>
      </c>
      <c r="L747">
        <v>250</v>
      </c>
      <c r="M747">
        <v>46.696089135469599</v>
      </c>
      <c r="N747">
        <v>1.931</v>
      </c>
      <c r="O747">
        <f>(Table1[[#This Row],[P]]&lt;&gt;0)*(Table1[[#This Row],[C]]&lt;&gt;0)</f>
        <v>0</v>
      </c>
      <c r="P747">
        <f>NETWORKDAYS(Table1[[#This Row],[ts_event]],Table1[[#This Row],[option_expiry_date]])</f>
        <v>13</v>
      </c>
      <c r="Q747">
        <f>Table1[[#This Row],[Column2]]/252</f>
        <v>5.1587301587301584E-2</v>
      </c>
      <c r="R747" s="2" t="e">
        <f>IF(Table1[[#This Row],[CHECK2]]=0,NA(),
-(1/Table1[[#This Row],[T]])*LN((Table1[[#This Row],[S0]]-Table1[[#This Row],[C]]+Table1[[#This Row],[P]])/Table1[[#This Row],[K]])
)</f>
        <v>#N/A</v>
      </c>
    </row>
    <row r="748" spans="1:18">
      <c r="A748">
        <v>2</v>
      </c>
      <c r="B748" t="s">
        <v>10</v>
      </c>
      <c r="C748" s="1">
        <v>46153</v>
      </c>
      <c r="D748" t="s">
        <v>14</v>
      </c>
      <c r="E748">
        <v>60</v>
      </c>
      <c r="F748" t="s">
        <v>12</v>
      </c>
      <c r="G748" t="s">
        <v>13</v>
      </c>
      <c r="H748" s="1">
        <v>46169</v>
      </c>
      <c r="I748">
        <v>0</v>
      </c>
      <c r="J748">
        <v>0.804262295081967</v>
      </c>
      <c r="K748">
        <v>0</v>
      </c>
      <c r="L748">
        <v>915</v>
      </c>
      <c r="M748">
        <v>46.696089135469599</v>
      </c>
      <c r="N748">
        <v>1.931</v>
      </c>
      <c r="O748">
        <f>(Table1[[#This Row],[P]]&lt;&gt;0)*(Table1[[#This Row],[C]]&lt;&gt;0)</f>
        <v>0</v>
      </c>
      <c r="P748">
        <f>NETWORKDAYS(Table1[[#This Row],[ts_event]],Table1[[#This Row],[option_expiry_date]])</f>
        <v>13</v>
      </c>
      <c r="Q748">
        <f>Table1[[#This Row],[Column2]]/252</f>
        <v>5.1587301587301584E-2</v>
      </c>
      <c r="R748" s="2" t="e">
        <f>IF(Table1[[#This Row],[CHECK2]]=0,NA(),
-(1/Table1[[#This Row],[T]])*LN((Table1[[#This Row],[S0]]-Table1[[#This Row],[C]]+Table1[[#This Row],[P]])/Table1[[#This Row],[K]])
)</f>
        <v>#N/A</v>
      </c>
    </row>
    <row r="749" spans="1:18">
      <c r="A749">
        <v>2</v>
      </c>
      <c r="B749" t="s">
        <v>10</v>
      </c>
      <c r="C749" s="1">
        <v>46153</v>
      </c>
      <c r="D749" t="s">
        <v>14</v>
      </c>
      <c r="E749">
        <v>65</v>
      </c>
      <c r="F749" t="s">
        <v>12</v>
      </c>
      <c r="G749" t="s">
        <v>13</v>
      </c>
      <c r="H749" s="1">
        <v>46169</v>
      </c>
      <c r="I749">
        <v>0</v>
      </c>
      <c r="J749">
        <v>0.51851239669421401</v>
      </c>
      <c r="K749">
        <v>0</v>
      </c>
      <c r="L749">
        <v>605</v>
      </c>
      <c r="M749">
        <v>46.696089135469599</v>
      </c>
      <c r="N749">
        <v>1.931</v>
      </c>
      <c r="O749">
        <f>(Table1[[#This Row],[P]]&lt;&gt;0)*(Table1[[#This Row],[C]]&lt;&gt;0)</f>
        <v>0</v>
      </c>
      <c r="P749">
        <f>NETWORKDAYS(Table1[[#This Row],[ts_event]],Table1[[#This Row],[option_expiry_date]])</f>
        <v>13</v>
      </c>
      <c r="Q749">
        <f>Table1[[#This Row],[Column2]]/252</f>
        <v>5.1587301587301584E-2</v>
      </c>
      <c r="R749" s="2" t="e">
        <f>IF(Table1[[#This Row],[CHECK2]]=0,NA(),
-(1/Table1[[#This Row],[T]])*LN((Table1[[#This Row],[S0]]-Table1[[#This Row],[C]]+Table1[[#This Row],[P]])/Table1[[#This Row],[K]])
)</f>
        <v>#N/A</v>
      </c>
    </row>
    <row r="750" spans="1:18">
      <c r="A750">
        <v>1</v>
      </c>
      <c r="B750" t="s">
        <v>10</v>
      </c>
      <c r="C750" s="1">
        <v>46153</v>
      </c>
      <c r="D750" t="s">
        <v>14</v>
      </c>
      <c r="E750">
        <v>75</v>
      </c>
      <c r="F750" t="s">
        <v>12</v>
      </c>
      <c r="G750" t="s">
        <v>13</v>
      </c>
      <c r="H750" s="1">
        <v>46169</v>
      </c>
      <c r="I750">
        <v>0</v>
      </c>
      <c r="J750">
        <v>0.27500000000000002</v>
      </c>
      <c r="K750">
        <v>0</v>
      </c>
      <c r="L750">
        <v>450</v>
      </c>
      <c r="M750">
        <v>46.696089135469599</v>
      </c>
      <c r="N750">
        <v>1.931</v>
      </c>
      <c r="O750">
        <f>(Table1[[#This Row],[P]]&lt;&gt;0)*(Table1[[#This Row],[C]]&lt;&gt;0)</f>
        <v>0</v>
      </c>
      <c r="P750">
        <f>NETWORKDAYS(Table1[[#This Row],[ts_event]],Table1[[#This Row],[option_expiry_date]])</f>
        <v>13</v>
      </c>
      <c r="Q750">
        <f>Table1[[#This Row],[Column2]]/252</f>
        <v>5.1587301587301584E-2</v>
      </c>
      <c r="R750" s="2" t="e">
        <f>IF(Table1[[#This Row],[CHECK2]]=0,NA(),
-(1/Table1[[#This Row],[T]])*LN((Table1[[#This Row],[S0]]-Table1[[#This Row],[C]]+Table1[[#This Row],[P]])/Table1[[#This Row],[K]])
)</f>
        <v>#N/A</v>
      </c>
    </row>
    <row r="751" spans="1:18">
      <c r="A751">
        <v>1</v>
      </c>
      <c r="B751" t="s">
        <v>10</v>
      </c>
      <c r="C751" s="1">
        <v>46153</v>
      </c>
      <c r="D751" t="s">
        <v>14</v>
      </c>
      <c r="E751">
        <v>80</v>
      </c>
      <c r="F751" t="s">
        <v>12</v>
      </c>
      <c r="G751" t="s">
        <v>13</v>
      </c>
      <c r="H751" s="1">
        <v>46169</v>
      </c>
      <c r="I751">
        <v>0</v>
      </c>
      <c r="J751">
        <v>0.15</v>
      </c>
      <c r="K751">
        <v>0</v>
      </c>
      <c r="L751">
        <v>25</v>
      </c>
      <c r="M751">
        <v>46.696089135469599</v>
      </c>
      <c r="N751">
        <v>1.931</v>
      </c>
      <c r="O751">
        <f>(Table1[[#This Row],[P]]&lt;&gt;0)*(Table1[[#This Row],[C]]&lt;&gt;0)</f>
        <v>0</v>
      </c>
      <c r="P751">
        <f>NETWORKDAYS(Table1[[#This Row],[ts_event]],Table1[[#This Row],[option_expiry_date]])</f>
        <v>13</v>
      </c>
      <c r="Q751">
        <f>Table1[[#This Row],[Column2]]/252</f>
        <v>5.1587301587301584E-2</v>
      </c>
      <c r="R751" s="2" t="e">
        <f>IF(Table1[[#This Row],[CHECK2]]=0,NA(),
-(1/Table1[[#This Row],[T]])*LN((Table1[[#This Row],[S0]]-Table1[[#This Row],[C]]+Table1[[#This Row],[P]])/Table1[[#This Row],[K]])
)</f>
        <v>#N/A</v>
      </c>
    </row>
    <row r="752" spans="1:18">
      <c r="A752">
        <v>1</v>
      </c>
      <c r="B752" t="s">
        <v>10</v>
      </c>
      <c r="C752" s="1">
        <v>46153</v>
      </c>
      <c r="D752" t="s">
        <v>15</v>
      </c>
      <c r="E752">
        <v>30</v>
      </c>
      <c r="F752" t="s">
        <v>12</v>
      </c>
      <c r="G752" t="s">
        <v>13</v>
      </c>
      <c r="H752" s="1">
        <v>46199</v>
      </c>
      <c r="I752">
        <v>0.13500000000000001</v>
      </c>
      <c r="J752">
        <v>0</v>
      </c>
      <c r="K752">
        <v>800</v>
      </c>
      <c r="L752">
        <v>0</v>
      </c>
      <c r="M752">
        <v>46.700840167736601</v>
      </c>
      <c r="N752">
        <v>1.931</v>
      </c>
      <c r="O752">
        <f>(Table1[[#This Row],[P]]&lt;&gt;0)*(Table1[[#This Row],[C]]&lt;&gt;0)</f>
        <v>0</v>
      </c>
      <c r="P752">
        <f>NETWORKDAYS(Table1[[#This Row],[ts_event]],Table1[[#This Row],[option_expiry_date]])</f>
        <v>35</v>
      </c>
      <c r="Q752">
        <f>Table1[[#This Row],[Column2]]/252</f>
        <v>0.1388888888888889</v>
      </c>
      <c r="R752" s="2" t="e">
        <f>IF(Table1[[#This Row],[CHECK2]]=0,NA(),
-(1/Table1[[#This Row],[T]])*LN((Table1[[#This Row],[S0]]-Table1[[#This Row],[C]]+Table1[[#This Row],[P]])/Table1[[#This Row],[K]])
)</f>
        <v>#N/A</v>
      </c>
    </row>
    <row r="753" spans="1:18">
      <c r="A753">
        <v>1</v>
      </c>
      <c r="B753" t="s">
        <v>10</v>
      </c>
      <c r="C753" s="1">
        <v>46153</v>
      </c>
      <c r="D753" t="s">
        <v>15</v>
      </c>
      <c r="E753">
        <v>31.5</v>
      </c>
      <c r="F753" t="s">
        <v>12</v>
      </c>
      <c r="G753" t="s">
        <v>13</v>
      </c>
      <c r="H753" s="1">
        <v>46199</v>
      </c>
      <c r="I753">
        <v>0.18</v>
      </c>
      <c r="J753">
        <v>0</v>
      </c>
      <c r="K753">
        <v>20</v>
      </c>
      <c r="L753">
        <v>0</v>
      </c>
      <c r="M753">
        <v>46.700840167736601</v>
      </c>
      <c r="N753">
        <v>1.931</v>
      </c>
      <c r="O753">
        <f>(Table1[[#This Row],[P]]&lt;&gt;0)*(Table1[[#This Row],[C]]&lt;&gt;0)</f>
        <v>0</v>
      </c>
      <c r="P753">
        <f>NETWORKDAYS(Table1[[#This Row],[ts_event]],Table1[[#This Row],[option_expiry_date]])</f>
        <v>35</v>
      </c>
      <c r="Q753">
        <f>Table1[[#This Row],[Column2]]/252</f>
        <v>0.1388888888888889</v>
      </c>
      <c r="R753" s="2" t="e">
        <f>IF(Table1[[#This Row],[CHECK2]]=0,NA(),
-(1/Table1[[#This Row],[T]])*LN((Table1[[#This Row],[S0]]-Table1[[#This Row],[C]]+Table1[[#This Row],[P]])/Table1[[#This Row],[K]])
)</f>
        <v>#N/A</v>
      </c>
    </row>
    <row r="754" spans="1:18">
      <c r="A754">
        <v>1</v>
      </c>
      <c r="B754" t="s">
        <v>10</v>
      </c>
      <c r="C754" s="1">
        <v>46153</v>
      </c>
      <c r="D754" t="s">
        <v>15</v>
      </c>
      <c r="E754">
        <v>33</v>
      </c>
      <c r="F754" t="s">
        <v>12</v>
      </c>
      <c r="G754" t="s">
        <v>13</v>
      </c>
      <c r="H754" s="1">
        <v>46199</v>
      </c>
      <c r="I754">
        <v>0.27500000000000002</v>
      </c>
      <c r="J754">
        <v>0</v>
      </c>
      <c r="K754">
        <v>30</v>
      </c>
      <c r="L754">
        <v>0</v>
      </c>
      <c r="M754">
        <v>46.700840167736601</v>
      </c>
      <c r="N754">
        <v>1.931</v>
      </c>
      <c r="O754">
        <f>(Table1[[#This Row],[P]]&lt;&gt;0)*(Table1[[#This Row],[C]]&lt;&gt;0)</f>
        <v>0</v>
      </c>
      <c r="P754">
        <f>NETWORKDAYS(Table1[[#This Row],[ts_event]],Table1[[#This Row],[option_expiry_date]])</f>
        <v>35</v>
      </c>
      <c r="Q754">
        <f>Table1[[#This Row],[Column2]]/252</f>
        <v>0.1388888888888889</v>
      </c>
      <c r="R754" s="2" t="e">
        <f>IF(Table1[[#This Row],[CHECK2]]=0,NA(),
-(1/Table1[[#This Row],[T]])*LN((Table1[[#This Row],[S0]]-Table1[[#This Row],[C]]+Table1[[#This Row],[P]])/Table1[[#This Row],[K]])
)</f>
        <v>#N/A</v>
      </c>
    </row>
    <row r="755" spans="1:18">
      <c r="A755">
        <v>1</v>
      </c>
      <c r="B755" t="s">
        <v>10</v>
      </c>
      <c r="C755" s="1">
        <v>46153</v>
      </c>
      <c r="D755" t="s">
        <v>15</v>
      </c>
      <c r="E755">
        <v>35</v>
      </c>
      <c r="F755" t="s">
        <v>12</v>
      </c>
      <c r="G755" t="s">
        <v>13</v>
      </c>
      <c r="H755" s="1">
        <v>46199</v>
      </c>
      <c r="I755">
        <v>0.77500000000000002</v>
      </c>
      <c r="J755">
        <v>0</v>
      </c>
      <c r="K755">
        <v>2025</v>
      </c>
      <c r="L755">
        <v>0</v>
      </c>
      <c r="M755">
        <v>46.700840167736601</v>
      </c>
      <c r="N755">
        <v>1.931</v>
      </c>
      <c r="O755">
        <f>(Table1[[#This Row],[P]]&lt;&gt;0)*(Table1[[#This Row],[C]]&lt;&gt;0)</f>
        <v>0</v>
      </c>
      <c r="P755">
        <f>NETWORKDAYS(Table1[[#This Row],[ts_event]],Table1[[#This Row],[option_expiry_date]])</f>
        <v>35</v>
      </c>
      <c r="Q755">
        <f>Table1[[#This Row],[Column2]]/252</f>
        <v>0.1388888888888889</v>
      </c>
      <c r="R755" s="2" t="e">
        <f>IF(Table1[[#This Row],[CHECK2]]=0,NA(),
-(1/Table1[[#This Row],[T]])*LN((Table1[[#This Row],[S0]]-Table1[[#This Row],[C]]+Table1[[#This Row],[P]])/Table1[[#This Row],[K]])
)</f>
        <v>#N/A</v>
      </c>
    </row>
    <row r="756" spans="1:18">
      <c r="A756">
        <v>1</v>
      </c>
      <c r="B756" t="s">
        <v>10</v>
      </c>
      <c r="C756" s="1">
        <v>46153</v>
      </c>
      <c r="D756" t="s">
        <v>15</v>
      </c>
      <c r="E756">
        <v>35.5</v>
      </c>
      <c r="F756" t="s">
        <v>12</v>
      </c>
      <c r="G756" t="s">
        <v>13</v>
      </c>
      <c r="H756" s="1">
        <v>46199</v>
      </c>
      <c r="I756">
        <v>0.55000000000000004</v>
      </c>
      <c r="J756">
        <v>0</v>
      </c>
      <c r="K756">
        <v>5</v>
      </c>
      <c r="L756">
        <v>0</v>
      </c>
      <c r="M756">
        <v>46.700840167736601</v>
      </c>
      <c r="N756">
        <v>1.931</v>
      </c>
      <c r="O756">
        <f>(Table1[[#This Row],[P]]&lt;&gt;0)*(Table1[[#This Row],[C]]&lt;&gt;0)</f>
        <v>0</v>
      </c>
      <c r="P756">
        <f>NETWORKDAYS(Table1[[#This Row],[ts_event]],Table1[[#This Row],[option_expiry_date]])</f>
        <v>35</v>
      </c>
      <c r="Q756">
        <f>Table1[[#This Row],[Column2]]/252</f>
        <v>0.1388888888888889</v>
      </c>
      <c r="R756" s="2" t="e">
        <f>IF(Table1[[#This Row],[CHECK2]]=0,NA(),
-(1/Table1[[#This Row],[T]])*LN((Table1[[#This Row],[S0]]-Table1[[#This Row],[C]]+Table1[[#This Row],[P]])/Table1[[#This Row],[K]])
)</f>
        <v>#N/A</v>
      </c>
    </row>
    <row r="757" spans="1:18">
      <c r="A757">
        <v>1</v>
      </c>
      <c r="B757" t="s">
        <v>10</v>
      </c>
      <c r="C757" s="1">
        <v>46153</v>
      </c>
      <c r="D757" t="s">
        <v>15</v>
      </c>
      <c r="E757">
        <v>37</v>
      </c>
      <c r="F757" t="s">
        <v>12</v>
      </c>
      <c r="G757" t="s">
        <v>13</v>
      </c>
      <c r="H757" s="1">
        <v>46199</v>
      </c>
      <c r="I757">
        <v>0.84</v>
      </c>
      <c r="J757">
        <v>0</v>
      </c>
      <c r="K757">
        <v>5</v>
      </c>
      <c r="L757">
        <v>0</v>
      </c>
      <c r="M757">
        <v>46.700840167736601</v>
      </c>
      <c r="N757">
        <v>1.931</v>
      </c>
      <c r="O757">
        <f>(Table1[[#This Row],[P]]&lt;&gt;0)*(Table1[[#This Row],[C]]&lt;&gt;0)</f>
        <v>0</v>
      </c>
      <c r="P757">
        <f>NETWORKDAYS(Table1[[#This Row],[ts_event]],Table1[[#This Row],[option_expiry_date]])</f>
        <v>35</v>
      </c>
      <c r="Q757">
        <f>Table1[[#This Row],[Column2]]/252</f>
        <v>0.1388888888888889</v>
      </c>
      <c r="R757" s="2" t="e">
        <f>IF(Table1[[#This Row],[CHECK2]]=0,NA(),
-(1/Table1[[#This Row],[T]])*LN((Table1[[#This Row],[S0]]-Table1[[#This Row],[C]]+Table1[[#This Row],[P]])/Table1[[#This Row],[K]])
)</f>
        <v>#N/A</v>
      </c>
    </row>
    <row r="758" spans="1:18">
      <c r="A758">
        <v>1</v>
      </c>
      <c r="B758" t="s">
        <v>10</v>
      </c>
      <c r="C758" s="1">
        <v>46153</v>
      </c>
      <c r="D758" t="s">
        <v>15</v>
      </c>
      <c r="E758">
        <v>38</v>
      </c>
      <c r="F758" t="s">
        <v>12</v>
      </c>
      <c r="G758" t="s">
        <v>13</v>
      </c>
      <c r="H758" s="1">
        <v>46199</v>
      </c>
      <c r="I758">
        <v>1.3</v>
      </c>
      <c r="J758">
        <v>0</v>
      </c>
      <c r="K758">
        <v>50</v>
      </c>
      <c r="L758">
        <v>0</v>
      </c>
      <c r="M758">
        <v>46.700840167736601</v>
      </c>
      <c r="N758">
        <v>1.931</v>
      </c>
      <c r="O758">
        <f>(Table1[[#This Row],[P]]&lt;&gt;0)*(Table1[[#This Row],[C]]&lt;&gt;0)</f>
        <v>0</v>
      </c>
      <c r="P758">
        <f>NETWORKDAYS(Table1[[#This Row],[ts_event]],Table1[[#This Row],[option_expiry_date]])</f>
        <v>35</v>
      </c>
      <c r="Q758">
        <f>Table1[[#This Row],[Column2]]/252</f>
        <v>0.1388888888888889</v>
      </c>
      <c r="R758" s="2" t="e">
        <f>IF(Table1[[#This Row],[CHECK2]]=0,NA(),
-(1/Table1[[#This Row],[T]])*LN((Table1[[#This Row],[S0]]-Table1[[#This Row],[C]]+Table1[[#This Row],[P]])/Table1[[#This Row],[K]])
)</f>
        <v>#N/A</v>
      </c>
    </row>
    <row r="759" spans="1:18">
      <c r="A759">
        <v>1</v>
      </c>
      <c r="B759" t="s">
        <v>10</v>
      </c>
      <c r="C759" s="1">
        <v>46153</v>
      </c>
      <c r="D759" t="s">
        <v>15</v>
      </c>
      <c r="E759">
        <v>39</v>
      </c>
      <c r="F759" t="s">
        <v>12</v>
      </c>
      <c r="G759" t="s">
        <v>13</v>
      </c>
      <c r="H759" s="1">
        <v>46199</v>
      </c>
      <c r="I759">
        <v>1.4</v>
      </c>
      <c r="J759">
        <v>0</v>
      </c>
      <c r="K759">
        <v>5</v>
      </c>
      <c r="L759">
        <v>0</v>
      </c>
      <c r="M759">
        <v>46.700840167736601</v>
      </c>
      <c r="N759">
        <v>1.931</v>
      </c>
      <c r="O759">
        <f>(Table1[[#This Row],[P]]&lt;&gt;0)*(Table1[[#This Row],[C]]&lt;&gt;0)</f>
        <v>0</v>
      </c>
      <c r="P759">
        <f>NETWORKDAYS(Table1[[#This Row],[ts_event]],Table1[[#This Row],[option_expiry_date]])</f>
        <v>35</v>
      </c>
      <c r="Q759">
        <f>Table1[[#This Row],[Column2]]/252</f>
        <v>0.1388888888888889</v>
      </c>
      <c r="R759" s="2" t="e">
        <f>IF(Table1[[#This Row],[CHECK2]]=0,NA(),
-(1/Table1[[#This Row],[T]])*LN((Table1[[#This Row],[S0]]-Table1[[#This Row],[C]]+Table1[[#This Row],[P]])/Table1[[#This Row],[K]])
)</f>
        <v>#N/A</v>
      </c>
    </row>
    <row r="760" spans="1:18">
      <c r="A760">
        <v>2</v>
      </c>
      <c r="B760" t="s">
        <v>10</v>
      </c>
      <c r="C760" s="1">
        <v>46153</v>
      </c>
      <c r="D760" t="s">
        <v>15</v>
      </c>
      <c r="E760">
        <v>40</v>
      </c>
      <c r="F760" t="s">
        <v>12</v>
      </c>
      <c r="G760" t="s">
        <v>13</v>
      </c>
      <c r="H760" s="1">
        <v>46199</v>
      </c>
      <c r="I760">
        <v>2.2925352112675998</v>
      </c>
      <c r="J760">
        <v>0</v>
      </c>
      <c r="K760">
        <v>355</v>
      </c>
      <c r="L760">
        <v>0</v>
      </c>
      <c r="M760">
        <v>46.700840167736601</v>
      </c>
      <c r="N760">
        <v>1.931</v>
      </c>
      <c r="O760">
        <f>(Table1[[#This Row],[P]]&lt;&gt;0)*(Table1[[#This Row],[C]]&lt;&gt;0)</f>
        <v>0</v>
      </c>
      <c r="P760">
        <f>NETWORKDAYS(Table1[[#This Row],[ts_event]],Table1[[#This Row],[option_expiry_date]])</f>
        <v>35</v>
      </c>
      <c r="Q760">
        <f>Table1[[#This Row],[Column2]]/252</f>
        <v>0.1388888888888889</v>
      </c>
      <c r="R760" s="2" t="e">
        <f>IF(Table1[[#This Row],[CHECK2]]=0,NA(),
-(1/Table1[[#This Row],[T]])*LN((Table1[[#This Row],[S0]]-Table1[[#This Row],[C]]+Table1[[#This Row],[P]])/Table1[[#This Row],[K]])
)</f>
        <v>#N/A</v>
      </c>
    </row>
    <row r="761" spans="1:18">
      <c r="A761">
        <v>1</v>
      </c>
      <c r="B761" t="s">
        <v>10</v>
      </c>
      <c r="C761" s="1">
        <v>46153</v>
      </c>
      <c r="D761" t="s">
        <v>15</v>
      </c>
      <c r="E761">
        <v>41</v>
      </c>
      <c r="F761" t="s">
        <v>12</v>
      </c>
      <c r="G761" t="s">
        <v>13</v>
      </c>
      <c r="H761" s="1">
        <v>46199</v>
      </c>
      <c r="I761">
        <v>2.4300000000000002</v>
      </c>
      <c r="J761">
        <v>0</v>
      </c>
      <c r="K761">
        <v>50</v>
      </c>
      <c r="L761">
        <v>0</v>
      </c>
      <c r="M761">
        <v>46.700840167736601</v>
      </c>
      <c r="N761">
        <v>1.931</v>
      </c>
      <c r="O761">
        <f>(Table1[[#This Row],[P]]&lt;&gt;0)*(Table1[[#This Row],[C]]&lt;&gt;0)</f>
        <v>0</v>
      </c>
      <c r="P761">
        <f>NETWORKDAYS(Table1[[#This Row],[ts_event]],Table1[[#This Row],[option_expiry_date]])</f>
        <v>35</v>
      </c>
      <c r="Q761">
        <f>Table1[[#This Row],[Column2]]/252</f>
        <v>0.1388888888888889</v>
      </c>
      <c r="R761" s="2" t="e">
        <f>IF(Table1[[#This Row],[CHECK2]]=0,NA(),
-(1/Table1[[#This Row],[T]])*LN((Table1[[#This Row],[S0]]-Table1[[#This Row],[C]]+Table1[[#This Row],[P]])/Table1[[#This Row],[K]])
)</f>
        <v>#N/A</v>
      </c>
    </row>
    <row r="762" spans="1:18">
      <c r="A762">
        <v>1</v>
      </c>
      <c r="B762" t="s">
        <v>10</v>
      </c>
      <c r="C762" s="1">
        <v>46153</v>
      </c>
      <c r="D762" t="s">
        <v>15</v>
      </c>
      <c r="E762">
        <v>42</v>
      </c>
      <c r="F762" t="s">
        <v>12</v>
      </c>
      <c r="G762" t="s">
        <v>13</v>
      </c>
      <c r="H762" s="1">
        <v>46199</v>
      </c>
      <c r="I762">
        <v>2.67</v>
      </c>
      <c r="J762">
        <v>0</v>
      </c>
      <c r="K762">
        <v>5</v>
      </c>
      <c r="L762">
        <v>0</v>
      </c>
      <c r="M762">
        <v>46.700840167736601</v>
      </c>
      <c r="N762">
        <v>1.931</v>
      </c>
      <c r="O762">
        <f>(Table1[[#This Row],[P]]&lt;&gt;0)*(Table1[[#This Row],[C]]&lt;&gt;0)</f>
        <v>0</v>
      </c>
      <c r="P762">
        <f>NETWORKDAYS(Table1[[#This Row],[ts_event]],Table1[[#This Row],[option_expiry_date]])</f>
        <v>35</v>
      </c>
      <c r="Q762">
        <f>Table1[[#This Row],[Column2]]/252</f>
        <v>0.1388888888888889</v>
      </c>
      <c r="R762" s="2" t="e">
        <f>IF(Table1[[#This Row],[CHECK2]]=0,NA(),
-(1/Table1[[#This Row],[T]])*LN((Table1[[#This Row],[S0]]-Table1[[#This Row],[C]]+Table1[[#This Row],[P]])/Table1[[#This Row],[K]])
)</f>
        <v>#N/A</v>
      </c>
    </row>
    <row r="763" spans="1:18">
      <c r="A763">
        <v>1</v>
      </c>
      <c r="B763" t="s">
        <v>10</v>
      </c>
      <c r="C763" s="1">
        <v>46153</v>
      </c>
      <c r="D763" t="s">
        <v>15</v>
      </c>
      <c r="E763">
        <v>43</v>
      </c>
      <c r="F763" t="s">
        <v>12</v>
      </c>
      <c r="G763" t="s">
        <v>13</v>
      </c>
      <c r="H763" s="1">
        <v>46199</v>
      </c>
      <c r="I763">
        <v>3.1850000000000001</v>
      </c>
      <c r="J763">
        <v>0</v>
      </c>
      <c r="K763">
        <v>5</v>
      </c>
      <c r="L763">
        <v>0</v>
      </c>
      <c r="M763">
        <v>46.700840167736601</v>
      </c>
      <c r="N763">
        <v>1.931</v>
      </c>
      <c r="O763">
        <f>(Table1[[#This Row],[P]]&lt;&gt;0)*(Table1[[#This Row],[C]]&lt;&gt;0)</f>
        <v>0</v>
      </c>
      <c r="P763">
        <f>NETWORKDAYS(Table1[[#This Row],[ts_event]],Table1[[#This Row],[option_expiry_date]])</f>
        <v>35</v>
      </c>
      <c r="Q763">
        <f>Table1[[#This Row],[Column2]]/252</f>
        <v>0.1388888888888889</v>
      </c>
      <c r="R763" s="2" t="e">
        <f>IF(Table1[[#This Row],[CHECK2]]=0,NA(),
-(1/Table1[[#This Row],[T]])*LN((Table1[[#This Row],[S0]]-Table1[[#This Row],[C]]+Table1[[#This Row],[P]])/Table1[[#This Row],[K]])
)</f>
        <v>#N/A</v>
      </c>
    </row>
    <row r="764" spans="1:18">
      <c r="A764">
        <v>2</v>
      </c>
      <c r="B764" t="s">
        <v>10</v>
      </c>
      <c r="C764" s="1">
        <v>46153</v>
      </c>
      <c r="D764" t="s">
        <v>15</v>
      </c>
      <c r="E764">
        <v>45</v>
      </c>
      <c r="F764" t="s">
        <v>12</v>
      </c>
      <c r="G764" t="s">
        <v>13</v>
      </c>
      <c r="H764" s="1">
        <v>46199</v>
      </c>
      <c r="I764">
        <v>4.4000000000000004</v>
      </c>
      <c r="J764">
        <v>5</v>
      </c>
      <c r="K764">
        <v>5</v>
      </c>
      <c r="L764">
        <v>1500</v>
      </c>
      <c r="M764">
        <v>46.700840167736601</v>
      </c>
      <c r="N764">
        <v>1.931</v>
      </c>
      <c r="O764">
        <f>(Table1[[#This Row],[P]]&lt;&gt;0)*(Table1[[#This Row],[C]]&lt;&gt;0)</f>
        <v>1</v>
      </c>
      <c r="P764">
        <f>NETWORKDAYS(Table1[[#This Row],[ts_event]],Table1[[#This Row],[option_expiry_date]])</f>
        <v>35</v>
      </c>
      <c r="Q764">
        <f>Table1[[#This Row],[Column2]]/252</f>
        <v>0.1388888888888889</v>
      </c>
      <c r="R764" s="2">
        <f>IF(Table1[[#This Row],[CHECK2]]=0,NA(),
-(1/Table1[[#This Row],[T]])*LN((Table1[[#This Row],[S0]]-Table1[[#This Row],[C]]+Table1[[#This Row],[P]])/Table1[[#This Row],[K]])
)</f>
        <v>-0.17401453173276629</v>
      </c>
    </row>
    <row r="765" spans="1:18">
      <c r="A765">
        <v>1</v>
      </c>
      <c r="B765" t="s">
        <v>10</v>
      </c>
      <c r="C765" s="1">
        <v>46153</v>
      </c>
      <c r="D765" t="s">
        <v>15</v>
      </c>
      <c r="E765">
        <v>47</v>
      </c>
      <c r="F765" t="s">
        <v>12</v>
      </c>
      <c r="G765" t="s">
        <v>13</v>
      </c>
      <c r="H765" s="1">
        <v>46199</v>
      </c>
      <c r="I765">
        <v>5.72</v>
      </c>
      <c r="J765">
        <v>0</v>
      </c>
      <c r="K765">
        <v>5</v>
      </c>
      <c r="L765">
        <v>0</v>
      </c>
      <c r="M765">
        <v>46.700840167736601</v>
      </c>
      <c r="N765">
        <v>1.931</v>
      </c>
      <c r="O765">
        <f>(Table1[[#This Row],[P]]&lt;&gt;0)*(Table1[[#This Row],[C]]&lt;&gt;0)</f>
        <v>0</v>
      </c>
      <c r="P765">
        <f>NETWORKDAYS(Table1[[#This Row],[ts_event]],Table1[[#This Row],[option_expiry_date]])</f>
        <v>35</v>
      </c>
      <c r="Q765">
        <f>Table1[[#This Row],[Column2]]/252</f>
        <v>0.1388888888888889</v>
      </c>
      <c r="R765" s="2" t="e">
        <f>IF(Table1[[#This Row],[CHECK2]]=0,NA(),
-(1/Table1[[#This Row],[T]])*LN((Table1[[#This Row],[S0]]-Table1[[#This Row],[C]]+Table1[[#This Row],[P]])/Table1[[#This Row],[K]])
)</f>
        <v>#N/A</v>
      </c>
    </row>
    <row r="766" spans="1:18">
      <c r="A766">
        <v>1</v>
      </c>
      <c r="B766" t="s">
        <v>10</v>
      </c>
      <c r="C766" s="1">
        <v>46153</v>
      </c>
      <c r="D766" t="s">
        <v>15</v>
      </c>
      <c r="E766">
        <v>49</v>
      </c>
      <c r="F766" t="s">
        <v>12</v>
      </c>
      <c r="G766" t="s">
        <v>13</v>
      </c>
      <c r="H766" s="1">
        <v>46199</v>
      </c>
      <c r="I766">
        <v>0</v>
      </c>
      <c r="J766">
        <v>4.62</v>
      </c>
      <c r="K766">
        <v>0</v>
      </c>
      <c r="L766">
        <v>5</v>
      </c>
      <c r="M766">
        <v>46.700840167736601</v>
      </c>
      <c r="N766">
        <v>1.931</v>
      </c>
      <c r="O766">
        <f>(Table1[[#This Row],[P]]&lt;&gt;0)*(Table1[[#This Row],[C]]&lt;&gt;0)</f>
        <v>0</v>
      </c>
      <c r="P766">
        <f>NETWORKDAYS(Table1[[#This Row],[ts_event]],Table1[[#This Row],[option_expiry_date]])</f>
        <v>35</v>
      </c>
      <c r="Q766">
        <f>Table1[[#This Row],[Column2]]/252</f>
        <v>0.1388888888888889</v>
      </c>
      <c r="R766" s="2" t="e">
        <f>IF(Table1[[#This Row],[CHECK2]]=0,NA(),
-(1/Table1[[#This Row],[T]])*LN((Table1[[#This Row],[S0]]-Table1[[#This Row],[C]]+Table1[[#This Row],[P]])/Table1[[#This Row],[K]])
)</f>
        <v>#N/A</v>
      </c>
    </row>
    <row r="767" spans="1:18">
      <c r="A767">
        <v>1</v>
      </c>
      <c r="B767" t="s">
        <v>10</v>
      </c>
      <c r="C767" s="1">
        <v>46153</v>
      </c>
      <c r="D767" t="s">
        <v>15</v>
      </c>
      <c r="E767">
        <v>50</v>
      </c>
      <c r="F767" t="s">
        <v>12</v>
      </c>
      <c r="G767" t="s">
        <v>13</v>
      </c>
      <c r="H767" s="1">
        <v>46199</v>
      </c>
      <c r="I767">
        <v>0</v>
      </c>
      <c r="J767">
        <v>4.3049999999999997</v>
      </c>
      <c r="K767">
        <v>0</v>
      </c>
      <c r="L767">
        <v>400</v>
      </c>
      <c r="M767">
        <v>46.700840167736601</v>
      </c>
      <c r="N767">
        <v>1.931</v>
      </c>
      <c r="O767">
        <f>(Table1[[#This Row],[P]]&lt;&gt;0)*(Table1[[#This Row],[C]]&lt;&gt;0)</f>
        <v>0</v>
      </c>
      <c r="P767">
        <f>NETWORKDAYS(Table1[[#This Row],[ts_event]],Table1[[#This Row],[option_expiry_date]])</f>
        <v>35</v>
      </c>
      <c r="Q767">
        <f>Table1[[#This Row],[Column2]]/252</f>
        <v>0.1388888888888889</v>
      </c>
      <c r="R767" s="2" t="e">
        <f>IF(Table1[[#This Row],[CHECK2]]=0,NA(),
-(1/Table1[[#This Row],[T]])*LN((Table1[[#This Row],[S0]]-Table1[[#This Row],[C]]+Table1[[#This Row],[P]])/Table1[[#This Row],[K]])
)</f>
        <v>#N/A</v>
      </c>
    </row>
    <row r="768" spans="1:18">
      <c r="A768">
        <v>1</v>
      </c>
      <c r="B768" t="s">
        <v>10</v>
      </c>
      <c r="C768" s="1">
        <v>46153</v>
      </c>
      <c r="D768" t="s">
        <v>15</v>
      </c>
      <c r="E768">
        <v>51</v>
      </c>
      <c r="F768" t="s">
        <v>12</v>
      </c>
      <c r="G768" t="s">
        <v>13</v>
      </c>
      <c r="H768" s="1">
        <v>46199</v>
      </c>
      <c r="I768">
        <v>0</v>
      </c>
      <c r="J768">
        <v>4.09</v>
      </c>
      <c r="K768">
        <v>0</v>
      </c>
      <c r="L768">
        <v>5</v>
      </c>
      <c r="M768">
        <v>46.700840167736601</v>
      </c>
      <c r="N768">
        <v>1.931</v>
      </c>
      <c r="O768">
        <f>(Table1[[#This Row],[P]]&lt;&gt;0)*(Table1[[#This Row],[C]]&lt;&gt;0)</f>
        <v>0</v>
      </c>
      <c r="P768">
        <f>NETWORKDAYS(Table1[[#This Row],[ts_event]],Table1[[#This Row],[option_expiry_date]])</f>
        <v>35</v>
      </c>
      <c r="Q768">
        <f>Table1[[#This Row],[Column2]]/252</f>
        <v>0.1388888888888889</v>
      </c>
      <c r="R768" s="2" t="e">
        <f>IF(Table1[[#This Row],[CHECK2]]=0,NA(),
-(1/Table1[[#This Row],[T]])*LN((Table1[[#This Row],[S0]]-Table1[[#This Row],[C]]+Table1[[#This Row],[P]])/Table1[[#This Row],[K]])
)</f>
        <v>#N/A</v>
      </c>
    </row>
    <row r="769" spans="1:18">
      <c r="A769">
        <v>1</v>
      </c>
      <c r="B769" t="s">
        <v>10</v>
      </c>
      <c r="C769" s="1">
        <v>46153</v>
      </c>
      <c r="D769" t="s">
        <v>15</v>
      </c>
      <c r="E769">
        <v>52</v>
      </c>
      <c r="F769" t="s">
        <v>12</v>
      </c>
      <c r="G769" t="s">
        <v>13</v>
      </c>
      <c r="H769" s="1">
        <v>46199</v>
      </c>
      <c r="I769">
        <v>0</v>
      </c>
      <c r="J769">
        <v>3.375</v>
      </c>
      <c r="K769">
        <v>0</v>
      </c>
      <c r="L769">
        <v>100</v>
      </c>
      <c r="M769">
        <v>46.700840167736601</v>
      </c>
      <c r="N769">
        <v>1.931</v>
      </c>
      <c r="O769">
        <f>(Table1[[#This Row],[P]]&lt;&gt;0)*(Table1[[#This Row],[C]]&lt;&gt;0)</f>
        <v>0</v>
      </c>
      <c r="P769">
        <f>NETWORKDAYS(Table1[[#This Row],[ts_event]],Table1[[#This Row],[option_expiry_date]])</f>
        <v>35</v>
      </c>
      <c r="Q769">
        <f>Table1[[#This Row],[Column2]]/252</f>
        <v>0.1388888888888889</v>
      </c>
      <c r="R769" s="2" t="e">
        <f>IF(Table1[[#This Row],[CHECK2]]=0,NA(),
-(1/Table1[[#This Row],[T]])*LN((Table1[[#This Row],[S0]]-Table1[[#This Row],[C]]+Table1[[#This Row],[P]])/Table1[[#This Row],[K]])
)</f>
        <v>#N/A</v>
      </c>
    </row>
    <row r="770" spans="1:18">
      <c r="A770">
        <v>1</v>
      </c>
      <c r="B770" t="s">
        <v>10</v>
      </c>
      <c r="C770" s="1">
        <v>46153</v>
      </c>
      <c r="D770" t="s">
        <v>15</v>
      </c>
      <c r="E770">
        <v>53</v>
      </c>
      <c r="F770" t="s">
        <v>12</v>
      </c>
      <c r="G770" t="s">
        <v>13</v>
      </c>
      <c r="H770" s="1">
        <v>46199</v>
      </c>
      <c r="I770">
        <v>0</v>
      </c>
      <c r="J770">
        <v>3.61</v>
      </c>
      <c r="K770">
        <v>0</v>
      </c>
      <c r="L770">
        <v>5</v>
      </c>
      <c r="M770">
        <v>46.700840167736601</v>
      </c>
      <c r="N770">
        <v>1.931</v>
      </c>
      <c r="O770">
        <f>(Table1[[#This Row],[P]]&lt;&gt;0)*(Table1[[#This Row],[C]]&lt;&gt;0)</f>
        <v>0</v>
      </c>
      <c r="P770">
        <f>NETWORKDAYS(Table1[[#This Row],[ts_event]],Table1[[#This Row],[option_expiry_date]])</f>
        <v>35</v>
      </c>
      <c r="Q770">
        <f>Table1[[#This Row],[Column2]]/252</f>
        <v>0.1388888888888889</v>
      </c>
      <c r="R770" s="2" t="e">
        <f>IF(Table1[[#This Row],[CHECK2]]=0,NA(),
-(1/Table1[[#This Row],[T]])*LN((Table1[[#This Row],[S0]]-Table1[[#This Row],[C]]+Table1[[#This Row],[P]])/Table1[[#This Row],[K]])
)</f>
        <v>#N/A</v>
      </c>
    </row>
    <row r="771" spans="1:18">
      <c r="A771">
        <v>1</v>
      </c>
      <c r="B771" t="s">
        <v>10</v>
      </c>
      <c r="C771" s="1">
        <v>46153</v>
      </c>
      <c r="D771" t="s">
        <v>15</v>
      </c>
      <c r="E771">
        <v>55</v>
      </c>
      <c r="F771" t="s">
        <v>12</v>
      </c>
      <c r="G771" t="s">
        <v>13</v>
      </c>
      <c r="H771" s="1">
        <v>46199</v>
      </c>
      <c r="I771">
        <v>0</v>
      </c>
      <c r="J771">
        <v>2.7</v>
      </c>
      <c r="K771">
        <v>0</v>
      </c>
      <c r="L771">
        <v>1675</v>
      </c>
      <c r="M771">
        <v>46.700840167736601</v>
      </c>
      <c r="N771">
        <v>1.931</v>
      </c>
      <c r="O771">
        <f>(Table1[[#This Row],[P]]&lt;&gt;0)*(Table1[[#This Row],[C]]&lt;&gt;0)</f>
        <v>0</v>
      </c>
      <c r="P771">
        <f>NETWORKDAYS(Table1[[#This Row],[ts_event]],Table1[[#This Row],[option_expiry_date]])</f>
        <v>35</v>
      </c>
      <c r="Q771">
        <f>Table1[[#This Row],[Column2]]/252</f>
        <v>0.1388888888888889</v>
      </c>
      <c r="R771" s="2" t="e">
        <f>IF(Table1[[#This Row],[CHECK2]]=0,NA(),
-(1/Table1[[#This Row],[T]])*LN((Table1[[#This Row],[S0]]-Table1[[#This Row],[C]]+Table1[[#This Row],[P]])/Table1[[#This Row],[K]])
)</f>
        <v>#N/A</v>
      </c>
    </row>
    <row r="772" spans="1:18">
      <c r="A772">
        <v>1</v>
      </c>
      <c r="B772" t="s">
        <v>10</v>
      </c>
      <c r="C772" s="1">
        <v>46153</v>
      </c>
      <c r="D772" t="s">
        <v>15</v>
      </c>
      <c r="E772">
        <v>56</v>
      </c>
      <c r="F772" t="s">
        <v>12</v>
      </c>
      <c r="G772" t="s">
        <v>13</v>
      </c>
      <c r="H772" s="1">
        <v>46199</v>
      </c>
      <c r="I772">
        <v>0</v>
      </c>
      <c r="J772">
        <v>3.1</v>
      </c>
      <c r="K772">
        <v>0</v>
      </c>
      <c r="L772">
        <v>5</v>
      </c>
      <c r="M772">
        <v>46.700840167736601</v>
      </c>
      <c r="N772">
        <v>1.931</v>
      </c>
      <c r="O772">
        <f>(Table1[[#This Row],[P]]&lt;&gt;0)*(Table1[[#This Row],[C]]&lt;&gt;0)</f>
        <v>0</v>
      </c>
      <c r="P772">
        <f>NETWORKDAYS(Table1[[#This Row],[ts_event]],Table1[[#This Row],[option_expiry_date]])</f>
        <v>35</v>
      </c>
      <c r="Q772">
        <f>Table1[[#This Row],[Column2]]/252</f>
        <v>0.1388888888888889</v>
      </c>
      <c r="R772" s="2" t="e">
        <f>IF(Table1[[#This Row],[CHECK2]]=0,NA(),
-(1/Table1[[#This Row],[T]])*LN((Table1[[#This Row],[S0]]-Table1[[#This Row],[C]]+Table1[[#This Row],[P]])/Table1[[#This Row],[K]])
)</f>
        <v>#N/A</v>
      </c>
    </row>
    <row r="773" spans="1:18">
      <c r="A773">
        <v>1</v>
      </c>
      <c r="B773" t="s">
        <v>10</v>
      </c>
      <c r="C773" s="1">
        <v>46153</v>
      </c>
      <c r="D773" t="s">
        <v>15</v>
      </c>
      <c r="E773">
        <v>60</v>
      </c>
      <c r="F773" t="s">
        <v>12</v>
      </c>
      <c r="G773" t="s">
        <v>13</v>
      </c>
      <c r="H773" s="1">
        <v>46199</v>
      </c>
      <c r="I773">
        <v>0</v>
      </c>
      <c r="J773">
        <v>2.4900000000000002</v>
      </c>
      <c r="K773">
        <v>0</v>
      </c>
      <c r="L773">
        <v>900</v>
      </c>
      <c r="M773">
        <v>46.700840167736601</v>
      </c>
      <c r="N773">
        <v>1.931</v>
      </c>
      <c r="O773">
        <f>(Table1[[#This Row],[P]]&lt;&gt;0)*(Table1[[#This Row],[C]]&lt;&gt;0)</f>
        <v>0</v>
      </c>
      <c r="P773">
        <f>NETWORKDAYS(Table1[[#This Row],[ts_event]],Table1[[#This Row],[option_expiry_date]])</f>
        <v>35</v>
      </c>
      <c r="Q773">
        <f>Table1[[#This Row],[Column2]]/252</f>
        <v>0.1388888888888889</v>
      </c>
      <c r="R773" s="2" t="e">
        <f>IF(Table1[[#This Row],[CHECK2]]=0,NA(),
-(1/Table1[[#This Row],[T]])*LN((Table1[[#This Row],[S0]]-Table1[[#This Row],[C]]+Table1[[#This Row],[P]])/Table1[[#This Row],[K]])
)</f>
        <v>#N/A</v>
      </c>
    </row>
    <row r="774" spans="1:18">
      <c r="A774">
        <v>1</v>
      </c>
      <c r="B774" t="s">
        <v>10</v>
      </c>
      <c r="C774" s="1">
        <v>46153</v>
      </c>
      <c r="D774" t="s">
        <v>15</v>
      </c>
      <c r="E774">
        <v>65</v>
      </c>
      <c r="F774" t="s">
        <v>12</v>
      </c>
      <c r="G774" t="s">
        <v>13</v>
      </c>
      <c r="H774" s="1">
        <v>46199</v>
      </c>
      <c r="I774">
        <v>0</v>
      </c>
      <c r="J774">
        <v>1.46</v>
      </c>
      <c r="K774">
        <v>0</v>
      </c>
      <c r="L774">
        <v>400</v>
      </c>
      <c r="M774">
        <v>46.700840167736601</v>
      </c>
      <c r="N774">
        <v>1.931</v>
      </c>
      <c r="O774">
        <f>(Table1[[#This Row],[P]]&lt;&gt;0)*(Table1[[#This Row],[C]]&lt;&gt;0)</f>
        <v>0</v>
      </c>
      <c r="P774">
        <f>NETWORKDAYS(Table1[[#This Row],[ts_event]],Table1[[#This Row],[option_expiry_date]])</f>
        <v>35</v>
      </c>
      <c r="Q774">
        <f>Table1[[#This Row],[Column2]]/252</f>
        <v>0.1388888888888889</v>
      </c>
      <c r="R774" s="2" t="e">
        <f>IF(Table1[[#This Row],[CHECK2]]=0,NA(),
-(1/Table1[[#This Row],[T]])*LN((Table1[[#This Row],[S0]]-Table1[[#This Row],[C]]+Table1[[#This Row],[P]])/Table1[[#This Row],[K]])
)</f>
        <v>#N/A</v>
      </c>
    </row>
    <row r="775" spans="1:18">
      <c r="A775">
        <v>1</v>
      </c>
      <c r="B775" t="s">
        <v>10</v>
      </c>
      <c r="C775" s="1">
        <v>46153</v>
      </c>
      <c r="D775" t="s">
        <v>15</v>
      </c>
      <c r="E775">
        <v>70</v>
      </c>
      <c r="F775" t="s">
        <v>12</v>
      </c>
      <c r="G775" t="s">
        <v>13</v>
      </c>
      <c r="H775" s="1">
        <v>46199</v>
      </c>
      <c r="I775">
        <v>0</v>
      </c>
      <c r="J775">
        <v>1.325</v>
      </c>
      <c r="K775">
        <v>0</v>
      </c>
      <c r="L775">
        <v>1575</v>
      </c>
      <c r="M775">
        <v>46.700840167736601</v>
      </c>
      <c r="N775">
        <v>1.931</v>
      </c>
      <c r="O775">
        <f>(Table1[[#This Row],[P]]&lt;&gt;0)*(Table1[[#This Row],[C]]&lt;&gt;0)</f>
        <v>0</v>
      </c>
      <c r="P775">
        <f>NETWORKDAYS(Table1[[#This Row],[ts_event]],Table1[[#This Row],[option_expiry_date]])</f>
        <v>35</v>
      </c>
      <c r="Q775">
        <f>Table1[[#This Row],[Column2]]/252</f>
        <v>0.1388888888888889</v>
      </c>
      <c r="R775" s="2" t="e">
        <f>IF(Table1[[#This Row],[CHECK2]]=0,NA(),
-(1/Table1[[#This Row],[T]])*LN((Table1[[#This Row],[S0]]-Table1[[#This Row],[C]]+Table1[[#This Row],[P]])/Table1[[#This Row],[K]])
)</f>
        <v>#N/A</v>
      </c>
    </row>
    <row r="776" spans="1:18">
      <c r="A776">
        <v>1</v>
      </c>
      <c r="B776" t="s">
        <v>10</v>
      </c>
      <c r="C776" s="1">
        <v>46153</v>
      </c>
      <c r="D776" t="s">
        <v>15</v>
      </c>
      <c r="E776">
        <v>75</v>
      </c>
      <c r="F776" t="s">
        <v>12</v>
      </c>
      <c r="G776" t="s">
        <v>13</v>
      </c>
      <c r="H776" s="1">
        <v>46199</v>
      </c>
      <c r="I776">
        <v>0</v>
      </c>
      <c r="J776">
        <v>0.9</v>
      </c>
      <c r="K776">
        <v>0</v>
      </c>
      <c r="L776">
        <v>400</v>
      </c>
      <c r="M776">
        <v>46.700840167736601</v>
      </c>
      <c r="N776">
        <v>1.931</v>
      </c>
      <c r="O776">
        <f>(Table1[[#This Row],[P]]&lt;&gt;0)*(Table1[[#This Row],[C]]&lt;&gt;0)</f>
        <v>0</v>
      </c>
      <c r="P776">
        <f>NETWORKDAYS(Table1[[#This Row],[ts_event]],Table1[[#This Row],[option_expiry_date]])</f>
        <v>35</v>
      </c>
      <c r="Q776">
        <f>Table1[[#This Row],[Column2]]/252</f>
        <v>0.1388888888888889</v>
      </c>
      <c r="R776" s="2" t="e">
        <f>IF(Table1[[#This Row],[CHECK2]]=0,NA(),
-(1/Table1[[#This Row],[T]])*LN((Table1[[#This Row],[S0]]-Table1[[#This Row],[C]]+Table1[[#This Row],[P]])/Table1[[#This Row],[K]])
)</f>
        <v>#N/A</v>
      </c>
    </row>
    <row r="777" spans="1:18">
      <c r="A777">
        <v>1</v>
      </c>
      <c r="B777" t="s">
        <v>10</v>
      </c>
      <c r="C777" s="1">
        <v>46153</v>
      </c>
      <c r="D777" t="s">
        <v>16</v>
      </c>
      <c r="E777">
        <v>30</v>
      </c>
      <c r="F777" t="s">
        <v>12</v>
      </c>
      <c r="G777" t="s">
        <v>13</v>
      </c>
      <c r="H777" s="1">
        <v>46230</v>
      </c>
      <c r="I777">
        <v>0.25</v>
      </c>
      <c r="J777">
        <v>0</v>
      </c>
      <c r="K777">
        <v>100</v>
      </c>
      <c r="L777">
        <v>0</v>
      </c>
      <c r="M777">
        <v>46.584217786683098</v>
      </c>
      <c r="N777">
        <v>1.931</v>
      </c>
      <c r="O777">
        <f>(Table1[[#This Row],[P]]&lt;&gt;0)*(Table1[[#This Row],[C]]&lt;&gt;0)</f>
        <v>0</v>
      </c>
      <c r="P777">
        <f>NETWORKDAYS(Table1[[#This Row],[ts_event]],Table1[[#This Row],[option_expiry_date]])</f>
        <v>56</v>
      </c>
      <c r="Q777">
        <f>Table1[[#This Row],[Column2]]/252</f>
        <v>0.22222222222222221</v>
      </c>
      <c r="R777" s="2" t="e">
        <f>IF(Table1[[#This Row],[CHECK2]]=0,NA(),
-(1/Table1[[#This Row],[T]])*LN((Table1[[#This Row],[S0]]-Table1[[#This Row],[C]]+Table1[[#This Row],[P]])/Table1[[#This Row],[K]])
)</f>
        <v>#N/A</v>
      </c>
    </row>
    <row r="778" spans="1:18">
      <c r="A778">
        <v>1</v>
      </c>
      <c r="B778" t="s">
        <v>10</v>
      </c>
      <c r="C778" s="1">
        <v>46153</v>
      </c>
      <c r="D778" t="s">
        <v>16</v>
      </c>
      <c r="E778">
        <v>32</v>
      </c>
      <c r="F778" t="s">
        <v>12</v>
      </c>
      <c r="G778" t="s">
        <v>13</v>
      </c>
      <c r="H778" s="1">
        <v>46230</v>
      </c>
      <c r="I778">
        <v>0.51</v>
      </c>
      <c r="J778">
        <v>0</v>
      </c>
      <c r="K778">
        <v>50</v>
      </c>
      <c r="L778">
        <v>0</v>
      </c>
      <c r="M778">
        <v>46.584217786683098</v>
      </c>
      <c r="N778">
        <v>1.931</v>
      </c>
      <c r="O778">
        <f>(Table1[[#This Row],[P]]&lt;&gt;0)*(Table1[[#This Row],[C]]&lt;&gt;0)</f>
        <v>0</v>
      </c>
      <c r="P778">
        <f>NETWORKDAYS(Table1[[#This Row],[ts_event]],Table1[[#This Row],[option_expiry_date]])</f>
        <v>56</v>
      </c>
      <c r="Q778">
        <f>Table1[[#This Row],[Column2]]/252</f>
        <v>0.22222222222222221</v>
      </c>
      <c r="R778" s="2" t="e">
        <f>IF(Table1[[#This Row],[CHECK2]]=0,NA(),
-(1/Table1[[#This Row],[T]])*LN((Table1[[#This Row],[S0]]-Table1[[#This Row],[C]]+Table1[[#This Row],[P]])/Table1[[#This Row],[K]])
)</f>
        <v>#N/A</v>
      </c>
    </row>
    <row r="779" spans="1:18">
      <c r="A779">
        <v>1</v>
      </c>
      <c r="B779" t="s">
        <v>10</v>
      </c>
      <c r="C779" s="1">
        <v>46153</v>
      </c>
      <c r="D779" t="s">
        <v>16</v>
      </c>
      <c r="E779">
        <v>35</v>
      </c>
      <c r="F779" t="s">
        <v>12</v>
      </c>
      <c r="G779" t="s">
        <v>13</v>
      </c>
      <c r="H779" s="1">
        <v>46230</v>
      </c>
      <c r="I779">
        <v>1.01</v>
      </c>
      <c r="J779">
        <v>0</v>
      </c>
      <c r="K779">
        <v>2175</v>
      </c>
      <c r="L779">
        <v>0</v>
      </c>
      <c r="M779">
        <v>46.584217786683098</v>
      </c>
      <c r="N779">
        <v>1.931</v>
      </c>
      <c r="O779">
        <f>(Table1[[#This Row],[P]]&lt;&gt;0)*(Table1[[#This Row],[C]]&lt;&gt;0)</f>
        <v>0</v>
      </c>
      <c r="P779">
        <f>NETWORKDAYS(Table1[[#This Row],[ts_event]],Table1[[#This Row],[option_expiry_date]])</f>
        <v>56</v>
      </c>
      <c r="Q779">
        <f>Table1[[#This Row],[Column2]]/252</f>
        <v>0.22222222222222221</v>
      </c>
      <c r="R779" s="2" t="e">
        <f>IF(Table1[[#This Row],[CHECK2]]=0,NA(),
-(1/Table1[[#This Row],[T]])*LN((Table1[[#This Row],[S0]]-Table1[[#This Row],[C]]+Table1[[#This Row],[P]])/Table1[[#This Row],[K]])
)</f>
        <v>#N/A</v>
      </c>
    </row>
    <row r="780" spans="1:18">
      <c r="A780">
        <v>1</v>
      </c>
      <c r="B780" t="s">
        <v>10</v>
      </c>
      <c r="C780" s="1">
        <v>46153</v>
      </c>
      <c r="D780" t="s">
        <v>16</v>
      </c>
      <c r="E780">
        <v>40</v>
      </c>
      <c r="F780" t="s">
        <v>12</v>
      </c>
      <c r="G780" t="s">
        <v>13</v>
      </c>
      <c r="H780" s="1">
        <v>46230</v>
      </c>
      <c r="I780">
        <v>2.91</v>
      </c>
      <c r="J780">
        <v>0</v>
      </c>
      <c r="K780">
        <v>2100</v>
      </c>
      <c r="L780">
        <v>0</v>
      </c>
      <c r="M780">
        <v>46.584217786683098</v>
      </c>
      <c r="N780">
        <v>1.931</v>
      </c>
      <c r="O780">
        <f>(Table1[[#This Row],[P]]&lt;&gt;0)*(Table1[[#This Row],[C]]&lt;&gt;0)</f>
        <v>0</v>
      </c>
      <c r="P780">
        <f>NETWORKDAYS(Table1[[#This Row],[ts_event]],Table1[[#This Row],[option_expiry_date]])</f>
        <v>56</v>
      </c>
      <c r="Q780">
        <f>Table1[[#This Row],[Column2]]/252</f>
        <v>0.22222222222222221</v>
      </c>
      <c r="R780" s="2" t="e">
        <f>IF(Table1[[#This Row],[CHECK2]]=0,NA(),
-(1/Table1[[#This Row],[T]])*LN((Table1[[#This Row],[S0]]-Table1[[#This Row],[C]]+Table1[[#This Row],[P]])/Table1[[#This Row],[K]])
)</f>
        <v>#N/A</v>
      </c>
    </row>
    <row r="781" spans="1:18">
      <c r="A781">
        <v>2</v>
      </c>
      <c r="B781" t="s">
        <v>10</v>
      </c>
      <c r="C781" s="1">
        <v>46153</v>
      </c>
      <c r="D781" t="s">
        <v>16</v>
      </c>
      <c r="E781">
        <v>45</v>
      </c>
      <c r="F781" t="s">
        <v>12</v>
      </c>
      <c r="G781" t="s">
        <v>13</v>
      </c>
      <c r="H781" s="1">
        <v>46230</v>
      </c>
      <c r="I781">
        <v>5.9249999999999998</v>
      </c>
      <c r="J781">
        <v>6.5250000000000004</v>
      </c>
      <c r="K781">
        <v>25</v>
      </c>
      <c r="L781">
        <v>250</v>
      </c>
      <c r="M781">
        <v>46.584217786683098</v>
      </c>
      <c r="N781">
        <v>1.931</v>
      </c>
      <c r="O781">
        <f>(Table1[[#This Row],[P]]&lt;&gt;0)*(Table1[[#This Row],[C]]&lt;&gt;0)</f>
        <v>1</v>
      </c>
      <c r="P781">
        <f>NETWORKDAYS(Table1[[#This Row],[ts_event]],Table1[[#This Row],[option_expiry_date]])</f>
        <v>56</v>
      </c>
      <c r="Q781">
        <f>Table1[[#This Row],[Column2]]/252</f>
        <v>0.22222222222222221</v>
      </c>
      <c r="R781" s="2">
        <f>IF(Table1[[#This Row],[CHECK2]]=0,NA(),
-(1/Table1[[#This Row],[T]])*LN((Table1[[#This Row],[S0]]-Table1[[#This Row],[C]]+Table1[[#This Row],[P]])/Table1[[#This Row],[K]])
)</f>
        <v>-9.7360903149944611E-2</v>
      </c>
    </row>
    <row r="782" spans="1:18">
      <c r="A782">
        <v>1</v>
      </c>
      <c r="B782" t="s">
        <v>10</v>
      </c>
      <c r="C782" s="1">
        <v>46153</v>
      </c>
      <c r="D782" t="s">
        <v>17</v>
      </c>
      <c r="E782">
        <v>25</v>
      </c>
      <c r="F782" t="s">
        <v>12</v>
      </c>
      <c r="G782" t="s">
        <v>13</v>
      </c>
      <c r="H782" s="1">
        <v>46260</v>
      </c>
      <c r="I782">
        <v>0.14000000000000001</v>
      </c>
      <c r="J782">
        <v>0</v>
      </c>
      <c r="K782">
        <v>150</v>
      </c>
      <c r="L782">
        <v>0</v>
      </c>
      <c r="M782">
        <v>46.585283113245303</v>
      </c>
      <c r="N782">
        <v>1.931</v>
      </c>
      <c r="O782">
        <f>(Table1[[#This Row],[P]]&lt;&gt;0)*(Table1[[#This Row],[C]]&lt;&gt;0)</f>
        <v>0</v>
      </c>
      <c r="P782">
        <f>NETWORKDAYS(Table1[[#This Row],[ts_event]],Table1[[#This Row],[option_expiry_date]])</f>
        <v>78</v>
      </c>
      <c r="Q782">
        <f>Table1[[#This Row],[Column2]]/252</f>
        <v>0.30952380952380953</v>
      </c>
      <c r="R782" s="2" t="e">
        <f>IF(Table1[[#This Row],[CHECK2]]=0,NA(),
-(1/Table1[[#This Row],[T]])*LN((Table1[[#This Row],[S0]]-Table1[[#This Row],[C]]+Table1[[#This Row],[P]])/Table1[[#This Row],[K]])
)</f>
        <v>#N/A</v>
      </c>
    </row>
    <row r="783" spans="1:18">
      <c r="A783">
        <v>1</v>
      </c>
      <c r="B783" t="s">
        <v>10</v>
      </c>
      <c r="C783" s="1">
        <v>46153</v>
      </c>
      <c r="D783" t="s">
        <v>17</v>
      </c>
      <c r="E783">
        <v>28</v>
      </c>
      <c r="F783" t="s">
        <v>12</v>
      </c>
      <c r="G783" t="s">
        <v>13</v>
      </c>
      <c r="H783" s="1">
        <v>46260</v>
      </c>
      <c r="I783">
        <v>0.28000000000000003</v>
      </c>
      <c r="J783">
        <v>0</v>
      </c>
      <c r="K783">
        <v>100</v>
      </c>
      <c r="L783">
        <v>0</v>
      </c>
      <c r="M783">
        <v>46.585283113245303</v>
      </c>
      <c r="N783">
        <v>1.931</v>
      </c>
      <c r="O783">
        <f>(Table1[[#This Row],[P]]&lt;&gt;0)*(Table1[[#This Row],[C]]&lt;&gt;0)</f>
        <v>0</v>
      </c>
      <c r="P783">
        <f>NETWORKDAYS(Table1[[#This Row],[ts_event]],Table1[[#This Row],[option_expiry_date]])</f>
        <v>78</v>
      </c>
      <c r="Q783">
        <f>Table1[[#This Row],[Column2]]/252</f>
        <v>0.30952380952380953</v>
      </c>
      <c r="R783" s="2" t="e">
        <f>IF(Table1[[#This Row],[CHECK2]]=0,NA(),
-(1/Table1[[#This Row],[T]])*LN((Table1[[#This Row],[S0]]-Table1[[#This Row],[C]]+Table1[[#This Row],[P]])/Table1[[#This Row],[K]])
)</f>
        <v>#N/A</v>
      </c>
    </row>
    <row r="784" spans="1:18">
      <c r="A784">
        <v>1</v>
      </c>
      <c r="B784" t="s">
        <v>10</v>
      </c>
      <c r="C784" s="1">
        <v>46153</v>
      </c>
      <c r="D784" t="s">
        <v>17</v>
      </c>
      <c r="E784">
        <v>33</v>
      </c>
      <c r="F784" t="s">
        <v>12</v>
      </c>
      <c r="G784" t="s">
        <v>13</v>
      </c>
      <c r="H784" s="1">
        <v>46260</v>
      </c>
      <c r="I784">
        <v>0.91500000000000004</v>
      </c>
      <c r="J784">
        <v>0</v>
      </c>
      <c r="K784">
        <v>10</v>
      </c>
      <c r="L784">
        <v>0</v>
      </c>
      <c r="M784">
        <v>46.585283113245303</v>
      </c>
      <c r="N784">
        <v>1.931</v>
      </c>
      <c r="O784">
        <f>(Table1[[#This Row],[P]]&lt;&gt;0)*(Table1[[#This Row],[C]]&lt;&gt;0)</f>
        <v>0</v>
      </c>
      <c r="P784">
        <f>NETWORKDAYS(Table1[[#This Row],[ts_event]],Table1[[#This Row],[option_expiry_date]])</f>
        <v>78</v>
      </c>
      <c r="Q784">
        <f>Table1[[#This Row],[Column2]]/252</f>
        <v>0.30952380952380953</v>
      </c>
      <c r="R784" s="2" t="e">
        <f>IF(Table1[[#This Row],[CHECK2]]=0,NA(),
-(1/Table1[[#This Row],[T]])*LN((Table1[[#This Row],[S0]]-Table1[[#This Row],[C]]+Table1[[#This Row],[P]])/Table1[[#This Row],[K]])
)</f>
        <v>#N/A</v>
      </c>
    </row>
    <row r="785" spans="1:18">
      <c r="A785">
        <v>1</v>
      </c>
      <c r="B785" t="s">
        <v>10</v>
      </c>
      <c r="C785" s="1">
        <v>46153</v>
      </c>
      <c r="D785" t="s">
        <v>17</v>
      </c>
      <c r="E785">
        <v>45</v>
      </c>
      <c r="F785" t="s">
        <v>12</v>
      </c>
      <c r="G785" t="s">
        <v>13</v>
      </c>
      <c r="H785" s="1">
        <v>46260</v>
      </c>
      <c r="I785">
        <v>0</v>
      </c>
      <c r="J785">
        <v>7.04</v>
      </c>
      <c r="K785">
        <v>0</v>
      </c>
      <c r="L785">
        <v>200</v>
      </c>
      <c r="M785">
        <v>46.585283113245303</v>
      </c>
      <c r="N785">
        <v>1.931</v>
      </c>
      <c r="O785">
        <f>(Table1[[#This Row],[P]]&lt;&gt;0)*(Table1[[#This Row],[C]]&lt;&gt;0)</f>
        <v>0</v>
      </c>
      <c r="P785">
        <f>NETWORKDAYS(Table1[[#This Row],[ts_event]],Table1[[#This Row],[option_expiry_date]])</f>
        <v>78</v>
      </c>
      <c r="Q785">
        <f>Table1[[#This Row],[Column2]]/252</f>
        <v>0.30952380952380953</v>
      </c>
      <c r="R785" s="2" t="e">
        <f>IF(Table1[[#This Row],[CHECK2]]=0,NA(),
-(1/Table1[[#This Row],[T]])*LN((Table1[[#This Row],[S0]]-Table1[[#This Row],[C]]+Table1[[#This Row],[P]])/Table1[[#This Row],[K]])
)</f>
        <v>#N/A</v>
      </c>
    </row>
    <row r="786" spans="1:18">
      <c r="A786">
        <v>1</v>
      </c>
      <c r="B786" t="s">
        <v>10</v>
      </c>
      <c r="C786" s="1">
        <v>46153</v>
      </c>
      <c r="D786" t="s">
        <v>17</v>
      </c>
      <c r="E786">
        <v>60</v>
      </c>
      <c r="F786" t="s">
        <v>12</v>
      </c>
      <c r="G786" t="s">
        <v>13</v>
      </c>
      <c r="H786" s="1">
        <v>46260</v>
      </c>
      <c r="I786">
        <v>0</v>
      </c>
      <c r="J786">
        <v>3.9</v>
      </c>
      <c r="K786">
        <v>0</v>
      </c>
      <c r="L786">
        <v>500</v>
      </c>
      <c r="M786">
        <v>46.585283113245303</v>
      </c>
      <c r="N786">
        <v>1.931</v>
      </c>
      <c r="O786">
        <f>(Table1[[#This Row],[P]]&lt;&gt;0)*(Table1[[#This Row],[C]]&lt;&gt;0)</f>
        <v>0</v>
      </c>
      <c r="P786">
        <f>NETWORKDAYS(Table1[[#This Row],[ts_event]],Table1[[#This Row],[option_expiry_date]])</f>
        <v>78</v>
      </c>
      <c r="Q786">
        <f>Table1[[#This Row],[Column2]]/252</f>
        <v>0.30952380952380953</v>
      </c>
      <c r="R786" s="2" t="e">
        <f>IF(Table1[[#This Row],[CHECK2]]=0,NA(),
-(1/Table1[[#This Row],[T]])*LN((Table1[[#This Row],[S0]]-Table1[[#This Row],[C]]+Table1[[#This Row],[P]])/Table1[[#This Row],[K]])
)</f>
        <v>#N/A</v>
      </c>
    </row>
    <row r="787" spans="1:18">
      <c r="A787">
        <v>1</v>
      </c>
      <c r="B787" t="s">
        <v>10</v>
      </c>
      <c r="C787" s="1">
        <v>46153</v>
      </c>
      <c r="D787" t="s">
        <v>17</v>
      </c>
      <c r="E787">
        <v>65</v>
      </c>
      <c r="F787" t="s">
        <v>12</v>
      </c>
      <c r="G787" t="s">
        <v>13</v>
      </c>
      <c r="H787" s="1">
        <v>46260</v>
      </c>
      <c r="I787">
        <v>0</v>
      </c>
      <c r="J787">
        <v>3.28</v>
      </c>
      <c r="K787">
        <v>0</v>
      </c>
      <c r="L787">
        <v>100</v>
      </c>
      <c r="M787">
        <v>46.585283113245303</v>
      </c>
      <c r="N787">
        <v>1.931</v>
      </c>
      <c r="O787">
        <f>(Table1[[#This Row],[P]]&lt;&gt;0)*(Table1[[#This Row],[C]]&lt;&gt;0)</f>
        <v>0</v>
      </c>
      <c r="P787">
        <f>NETWORKDAYS(Table1[[#This Row],[ts_event]],Table1[[#This Row],[option_expiry_date]])</f>
        <v>78</v>
      </c>
      <c r="Q787">
        <f>Table1[[#This Row],[Column2]]/252</f>
        <v>0.30952380952380953</v>
      </c>
      <c r="R787" s="2" t="e">
        <f>IF(Table1[[#This Row],[CHECK2]]=0,NA(),
-(1/Table1[[#This Row],[T]])*LN((Table1[[#This Row],[S0]]-Table1[[#This Row],[C]]+Table1[[#This Row],[P]])/Table1[[#This Row],[K]])
)</f>
        <v>#N/A</v>
      </c>
    </row>
    <row r="788" spans="1:18">
      <c r="A788">
        <v>1</v>
      </c>
      <c r="B788" t="s">
        <v>10</v>
      </c>
      <c r="C788" s="1">
        <v>46153</v>
      </c>
      <c r="D788" t="s">
        <v>17</v>
      </c>
      <c r="E788">
        <v>85</v>
      </c>
      <c r="F788" t="s">
        <v>12</v>
      </c>
      <c r="G788" t="s">
        <v>13</v>
      </c>
      <c r="H788" s="1">
        <v>46260</v>
      </c>
      <c r="I788">
        <v>0</v>
      </c>
      <c r="J788">
        <v>1.83</v>
      </c>
      <c r="K788">
        <v>0</v>
      </c>
      <c r="L788">
        <v>100</v>
      </c>
      <c r="M788">
        <v>46.585283113245303</v>
      </c>
      <c r="N788">
        <v>1.931</v>
      </c>
      <c r="O788">
        <f>(Table1[[#This Row],[P]]&lt;&gt;0)*(Table1[[#This Row],[C]]&lt;&gt;0)</f>
        <v>0</v>
      </c>
      <c r="P788">
        <f>NETWORKDAYS(Table1[[#This Row],[ts_event]],Table1[[#This Row],[option_expiry_date]])</f>
        <v>78</v>
      </c>
      <c r="Q788">
        <f>Table1[[#This Row],[Column2]]/252</f>
        <v>0.30952380952380953</v>
      </c>
      <c r="R788" s="2" t="e">
        <f>IF(Table1[[#This Row],[CHECK2]]=0,NA(),
-(1/Table1[[#This Row],[T]])*LN((Table1[[#This Row],[S0]]-Table1[[#This Row],[C]]+Table1[[#This Row],[P]])/Table1[[#This Row],[K]])
)</f>
        <v>#N/A</v>
      </c>
    </row>
    <row r="789" spans="1:18">
      <c r="A789">
        <v>1</v>
      </c>
      <c r="B789" t="s">
        <v>10</v>
      </c>
      <c r="C789" s="1">
        <v>46153</v>
      </c>
      <c r="D789" t="s">
        <v>17</v>
      </c>
      <c r="E789">
        <v>90</v>
      </c>
      <c r="F789" t="s">
        <v>12</v>
      </c>
      <c r="G789" t="s">
        <v>13</v>
      </c>
      <c r="H789" s="1">
        <v>46260</v>
      </c>
      <c r="I789">
        <v>0</v>
      </c>
      <c r="J789">
        <v>1.6</v>
      </c>
      <c r="K789">
        <v>0</v>
      </c>
      <c r="L789">
        <v>500</v>
      </c>
      <c r="M789">
        <v>46.585283113245303</v>
      </c>
      <c r="N789">
        <v>1.931</v>
      </c>
      <c r="O789">
        <f>(Table1[[#This Row],[P]]&lt;&gt;0)*(Table1[[#This Row],[C]]&lt;&gt;0)</f>
        <v>0</v>
      </c>
      <c r="P789">
        <f>NETWORKDAYS(Table1[[#This Row],[ts_event]],Table1[[#This Row],[option_expiry_date]])</f>
        <v>78</v>
      </c>
      <c r="Q789">
        <f>Table1[[#This Row],[Column2]]/252</f>
        <v>0.30952380952380953</v>
      </c>
      <c r="R789" s="2" t="e">
        <f>IF(Table1[[#This Row],[CHECK2]]=0,NA(),
-(1/Table1[[#This Row],[T]])*LN((Table1[[#This Row],[S0]]-Table1[[#This Row],[C]]+Table1[[#This Row],[P]])/Table1[[#This Row],[K]])
)</f>
        <v>#N/A</v>
      </c>
    </row>
    <row r="790" spans="1:18">
      <c r="A790">
        <v>1</v>
      </c>
      <c r="B790" t="s">
        <v>10</v>
      </c>
      <c r="C790" s="1">
        <v>46153</v>
      </c>
      <c r="D790" t="s">
        <v>18</v>
      </c>
      <c r="E790">
        <v>55</v>
      </c>
      <c r="F790" t="s">
        <v>12</v>
      </c>
      <c r="G790" t="s">
        <v>13</v>
      </c>
      <c r="H790" s="1">
        <v>46290</v>
      </c>
      <c r="I790">
        <v>0</v>
      </c>
      <c r="J790">
        <v>5.69</v>
      </c>
      <c r="K790">
        <v>0</v>
      </c>
      <c r="L790">
        <v>250</v>
      </c>
      <c r="M790">
        <v>46.364256607929498</v>
      </c>
      <c r="N790">
        <v>1.931</v>
      </c>
      <c r="O790">
        <f>(Table1[[#This Row],[P]]&lt;&gt;0)*(Table1[[#This Row],[C]]&lt;&gt;0)</f>
        <v>0</v>
      </c>
      <c r="P790">
        <f>NETWORKDAYS(Table1[[#This Row],[ts_event]],Table1[[#This Row],[option_expiry_date]])</f>
        <v>100</v>
      </c>
      <c r="Q790">
        <f>Table1[[#This Row],[Column2]]/252</f>
        <v>0.3968253968253968</v>
      </c>
      <c r="R790" s="2" t="e">
        <f>IF(Table1[[#This Row],[CHECK2]]=0,NA(),
-(1/Table1[[#This Row],[T]])*LN((Table1[[#This Row],[S0]]-Table1[[#This Row],[C]]+Table1[[#This Row],[P]])/Table1[[#This Row],[K]])
)</f>
        <v>#N/A</v>
      </c>
    </row>
    <row r="791" spans="1:18">
      <c r="A791">
        <v>1</v>
      </c>
      <c r="B791" t="s">
        <v>10</v>
      </c>
      <c r="C791" s="1">
        <v>46153</v>
      </c>
      <c r="D791" t="s">
        <v>18</v>
      </c>
      <c r="E791">
        <v>80</v>
      </c>
      <c r="F791" t="s">
        <v>12</v>
      </c>
      <c r="G791" t="s">
        <v>13</v>
      </c>
      <c r="H791" s="1">
        <v>46290</v>
      </c>
      <c r="I791">
        <v>0</v>
      </c>
      <c r="J791">
        <v>2.7</v>
      </c>
      <c r="K791">
        <v>0</v>
      </c>
      <c r="L791">
        <v>100</v>
      </c>
      <c r="M791">
        <v>46.364256607929498</v>
      </c>
      <c r="N791">
        <v>1.931</v>
      </c>
      <c r="O791">
        <f>(Table1[[#This Row],[P]]&lt;&gt;0)*(Table1[[#This Row],[C]]&lt;&gt;0)</f>
        <v>0</v>
      </c>
      <c r="P791">
        <f>NETWORKDAYS(Table1[[#This Row],[ts_event]],Table1[[#This Row],[option_expiry_date]])</f>
        <v>100</v>
      </c>
      <c r="Q791">
        <f>Table1[[#This Row],[Column2]]/252</f>
        <v>0.3968253968253968</v>
      </c>
      <c r="R791" s="2" t="e">
        <f>IF(Table1[[#This Row],[CHECK2]]=0,NA(),
-(1/Table1[[#This Row],[T]])*LN((Table1[[#This Row],[S0]]-Table1[[#This Row],[C]]+Table1[[#This Row],[P]])/Table1[[#This Row],[K]])
)</f>
        <v>#N/A</v>
      </c>
    </row>
    <row r="792" spans="1:18">
      <c r="A792">
        <v>1</v>
      </c>
      <c r="B792" t="s">
        <v>10</v>
      </c>
      <c r="C792" s="1">
        <v>46153</v>
      </c>
      <c r="D792" t="s">
        <v>20</v>
      </c>
      <c r="E792">
        <v>33</v>
      </c>
      <c r="F792" t="s">
        <v>12</v>
      </c>
      <c r="G792" t="s">
        <v>13</v>
      </c>
      <c r="H792" s="1">
        <v>46352</v>
      </c>
      <c r="I792">
        <v>2.15</v>
      </c>
      <c r="J792">
        <v>0</v>
      </c>
      <c r="K792">
        <v>150</v>
      </c>
      <c r="L792">
        <v>0</v>
      </c>
      <c r="M792">
        <v>45.785111620984701</v>
      </c>
      <c r="N792">
        <v>1.931</v>
      </c>
      <c r="O792">
        <f>(Table1[[#This Row],[P]]&lt;&gt;0)*(Table1[[#This Row],[C]]&lt;&gt;0)</f>
        <v>0</v>
      </c>
      <c r="P792">
        <f>NETWORKDAYS(Table1[[#This Row],[ts_event]],Table1[[#This Row],[option_expiry_date]])</f>
        <v>144</v>
      </c>
      <c r="Q792">
        <f>Table1[[#This Row],[Column2]]/252</f>
        <v>0.5714285714285714</v>
      </c>
      <c r="R792" s="2" t="e">
        <f>IF(Table1[[#This Row],[CHECK2]]=0,NA(),
-(1/Table1[[#This Row],[T]])*LN((Table1[[#This Row],[S0]]-Table1[[#This Row],[C]]+Table1[[#This Row],[P]])/Table1[[#This Row],[K]])
)</f>
        <v>#N/A</v>
      </c>
    </row>
    <row r="793" spans="1:18">
      <c r="A793">
        <v>1</v>
      </c>
      <c r="B793" t="s">
        <v>10</v>
      </c>
      <c r="C793" s="1">
        <v>46153</v>
      </c>
      <c r="D793" t="s">
        <v>20</v>
      </c>
      <c r="E793">
        <v>50</v>
      </c>
      <c r="F793" t="s">
        <v>12</v>
      </c>
      <c r="G793" t="s">
        <v>13</v>
      </c>
      <c r="H793" s="1">
        <v>46352</v>
      </c>
      <c r="I793">
        <v>0</v>
      </c>
      <c r="J793">
        <v>7.8</v>
      </c>
      <c r="K793">
        <v>0</v>
      </c>
      <c r="L793">
        <v>500</v>
      </c>
      <c r="M793">
        <v>45.785111620984701</v>
      </c>
      <c r="N793">
        <v>1.931</v>
      </c>
      <c r="O793">
        <f>(Table1[[#This Row],[P]]&lt;&gt;0)*(Table1[[#This Row],[C]]&lt;&gt;0)</f>
        <v>0</v>
      </c>
      <c r="P793">
        <f>NETWORKDAYS(Table1[[#This Row],[ts_event]],Table1[[#This Row],[option_expiry_date]])</f>
        <v>144</v>
      </c>
      <c r="Q793">
        <f>Table1[[#This Row],[Column2]]/252</f>
        <v>0.5714285714285714</v>
      </c>
      <c r="R793" s="2" t="e">
        <f>IF(Table1[[#This Row],[CHECK2]]=0,NA(),
-(1/Table1[[#This Row],[T]])*LN((Table1[[#This Row],[S0]]-Table1[[#This Row],[C]]+Table1[[#This Row],[P]])/Table1[[#This Row],[K]])
)</f>
        <v>#N/A</v>
      </c>
    </row>
    <row r="794" spans="1:18">
      <c r="A794">
        <v>1</v>
      </c>
      <c r="B794" t="s">
        <v>10</v>
      </c>
      <c r="C794" s="1">
        <v>46153</v>
      </c>
      <c r="D794" t="s">
        <v>20</v>
      </c>
      <c r="E794">
        <v>60</v>
      </c>
      <c r="F794" t="s">
        <v>12</v>
      </c>
      <c r="G794" t="s">
        <v>13</v>
      </c>
      <c r="H794" s="1">
        <v>46352</v>
      </c>
      <c r="I794">
        <v>0</v>
      </c>
      <c r="J794">
        <v>5.7</v>
      </c>
      <c r="K794">
        <v>0</v>
      </c>
      <c r="L794">
        <v>100</v>
      </c>
      <c r="M794">
        <v>45.785111620984701</v>
      </c>
      <c r="N794">
        <v>1.931</v>
      </c>
      <c r="O794">
        <f>(Table1[[#This Row],[P]]&lt;&gt;0)*(Table1[[#This Row],[C]]&lt;&gt;0)</f>
        <v>0</v>
      </c>
      <c r="P794">
        <f>NETWORKDAYS(Table1[[#This Row],[ts_event]],Table1[[#This Row],[option_expiry_date]])</f>
        <v>144</v>
      </c>
      <c r="Q794">
        <f>Table1[[#This Row],[Column2]]/252</f>
        <v>0.5714285714285714</v>
      </c>
      <c r="R794" s="2" t="e">
        <f>IF(Table1[[#This Row],[CHECK2]]=0,NA(),
-(1/Table1[[#This Row],[T]])*LN((Table1[[#This Row],[S0]]-Table1[[#This Row],[C]]+Table1[[#This Row],[P]])/Table1[[#This Row],[K]])
)</f>
        <v>#N/A</v>
      </c>
    </row>
    <row r="795" spans="1:18">
      <c r="A795">
        <v>2</v>
      </c>
      <c r="B795" t="s">
        <v>10</v>
      </c>
      <c r="C795" s="1">
        <v>46153</v>
      </c>
      <c r="D795" t="s">
        <v>24</v>
      </c>
      <c r="E795">
        <v>50</v>
      </c>
      <c r="F795" t="s">
        <v>12</v>
      </c>
      <c r="G795" t="s">
        <v>13</v>
      </c>
      <c r="H795" s="1">
        <v>46414</v>
      </c>
      <c r="I795">
        <v>0</v>
      </c>
      <c r="J795">
        <v>8.9396341463414597</v>
      </c>
      <c r="K795">
        <v>0</v>
      </c>
      <c r="L795">
        <v>1025</v>
      </c>
      <c r="M795">
        <v>45.311464510332399</v>
      </c>
      <c r="N795">
        <v>1.931</v>
      </c>
      <c r="O795">
        <f>(Table1[[#This Row],[P]]&lt;&gt;0)*(Table1[[#This Row],[C]]&lt;&gt;0)</f>
        <v>0</v>
      </c>
      <c r="P795">
        <f>NETWORKDAYS(Table1[[#This Row],[ts_event]],Table1[[#This Row],[option_expiry_date]])</f>
        <v>188</v>
      </c>
      <c r="Q795">
        <f>Table1[[#This Row],[Column2]]/252</f>
        <v>0.74603174603174605</v>
      </c>
      <c r="R795" s="2" t="e">
        <f>IF(Table1[[#This Row],[CHECK2]]=0,NA(),
-(1/Table1[[#This Row],[T]])*LN((Table1[[#This Row],[S0]]-Table1[[#This Row],[C]]+Table1[[#This Row],[P]])/Table1[[#This Row],[K]])
)</f>
        <v>#N/A</v>
      </c>
    </row>
    <row r="796" spans="1:18">
      <c r="A796">
        <v>1</v>
      </c>
      <c r="B796" t="s">
        <v>10</v>
      </c>
      <c r="C796" s="1">
        <v>46153</v>
      </c>
      <c r="D796" t="s">
        <v>24</v>
      </c>
      <c r="E796">
        <v>80</v>
      </c>
      <c r="F796" t="s">
        <v>12</v>
      </c>
      <c r="G796" t="s">
        <v>13</v>
      </c>
      <c r="H796" s="1">
        <v>46414</v>
      </c>
      <c r="I796">
        <v>0</v>
      </c>
      <c r="J796">
        <v>5.05</v>
      </c>
      <c r="K796">
        <v>0</v>
      </c>
      <c r="L796">
        <v>750</v>
      </c>
      <c r="M796">
        <v>45.311464510332399</v>
      </c>
      <c r="N796">
        <v>1.931</v>
      </c>
      <c r="O796">
        <f>(Table1[[#This Row],[P]]&lt;&gt;0)*(Table1[[#This Row],[C]]&lt;&gt;0)</f>
        <v>0</v>
      </c>
      <c r="P796">
        <f>NETWORKDAYS(Table1[[#This Row],[ts_event]],Table1[[#This Row],[option_expiry_date]])</f>
        <v>188</v>
      </c>
      <c r="Q796">
        <f>Table1[[#This Row],[Column2]]/252</f>
        <v>0.74603174603174605</v>
      </c>
      <c r="R796" s="2" t="e">
        <f>IF(Table1[[#This Row],[CHECK2]]=0,NA(),
-(1/Table1[[#This Row],[T]])*LN((Table1[[#This Row],[S0]]-Table1[[#This Row],[C]]+Table1[[#This Row],[P]])/Table1[[#This Row],[K]])
)</f>
        <v>#N/A</v>
      </c>
    </row>
    <row r="797" spans="1:18">
      <c r="A797">
        <v>1</v>
      </c>
      <c r="B797" t="s">
        <v>10</v>
      </c>
      <c r="C797" s="1">
        <v>46153</v>
      </c>
      <c r="D797" t="s">
        <v>22</v>
      </c>
      <c r="E797">
        <v>60</v>
      </c>
      <c r="F797" t="s">
        <v>12</v>
      </c>
      <c r="G797" t="s">
        <v>13</v>
      </c>
      <c r="H797" s="1">
        <v>46442</v>
      </c>
      <c r="I797">
        <v>0</v>
      </c>
      <c r="J797">
        <v>6.9</v>
      </c>
      <c r="K797">
        <v>0</v>
      </c>
      <c r="L797">
        <v>225</v>
      </c>
      <c r="M797">
        <v>43.274999999999999</v>
      </c>
      <c r="N797">
        <v>1.931</v>
      </c>
      <c r="O797">
        <f>(Table1[[#This Row],[P]]&lt;&gt;0)*(Table1[[#This Row],[C]]&lt;&gt;0)</f>
        <v>0</v>
      </c>
      <c r="P797">
        <f>NETWORKDAYS(Table1[[#This Row],[ts_event]],Table1[[#This Row],[option_expiry_date]])</f>
        <v>208</v>
      </c>
      <c r="Q797">
        <f>Table1[[#This Row],[Column2]]/252</f>
        <v>0.82539682539682535</v>
      </c>
      <c r="R797" s="2" t="e">
        <f>IF(Table1[[#This Row],[CHECK2]]=0,NA(),
-(1/Table1[[#This Row],[T]])*LN((Table1[[#This Row],[S0]]-Table1[[#This Row],[C]]+Table1[[#This Row],[P]])/Table1[[#This Row],[K]])
)</f>
        <v>#N/A</v>
      </c>
    </row>
    <row r="798" spans="1:18">
      <c r="A798">
        <v>1</v>
      </c>
      <c r="B798" t="s">
        <v>10</v>
      </c>
      <c r="C798" s="1">
        <v>46154</v>
      </c>
      <c r="D798" t="s">
        <v>14</v>
      </c>
      <c r="E798">
        <v>30</v>
      </c>
      <c r="F798" t="s">
        <v>12</v>
      </c>
      <c r="G798" t="s">
        <v>13</v>
      </c>
      <c r="H798" s="1">
        <v>46169</v>
      </c>
      <c r="I798">
        <v>7.0000000000000007E-2</v>
      </c>
      <c r="J798">
        <v>0</v>
      </c>
      <c r="K798">
        <v>600</v>
      </c>
      <c r="L798">
        <v>0</v>
      </c>
      <c r="M798">
        <v>46.6</v>
      </c>
      <c r="N798">
        <v>1.929</v>
      </c>
      <c r="O798">
        <f>(Table1[[#This Row],[P]]&lt;&gt;0)*(Table1[[#This Row],[C]]&lt;&gt;0)</f>
        <v>0</v>
      </c>
      <c r="P798">
        <f>NETWORKDAYS(Table1[[#This Row],[ts_event]],Table1[[#This Row],[option_expiry_date]])</f>
        <v>12</v>
      </c>
      <c r="Q798">
        <f>Table1[[#This Row],[Column2]]/252</f>
        <v>4.7619047619047616E-2</v>
      </c>
      <c r="R798" s="2" t="e">
        <f>IF(Table1[[#This Row],[CHECK2]]=0,NA(),
-(1/Table1[[#This Row],[T]])*LN((Table1[[#This Row],[S0]]-Table1[[#This Row],[C]]+Table1[[#This Row],[P]])/Table1[[#This Row],[K]])
)</f>
        <v>#N/A</v>
      </c>
    </row>
    <row r="799" spans="1:18">
      <c r="A799">
        <v>2</v>
      </c>
      <c r="B799" t="s">
        <v>10</v>
      </c>
      <c r="C799" s="1">
        <v>46154</v>
      </c>
      <c r="D799" t="s">
        <v>14</v>
      </c>
      <c r="E799">
        <v>35</v>
      </c>
      <c r="F799" t="s">
        <v>12</v>
      </c>
      <c r="G799" t="s">
        <v>13</v>
      </c>
      <c r="H799" s="1">
        <v>46169</v>
      </c>
      <c r="I799">
        <v>0.21263157894736801</v>
      </c>
      <c r="J799">
        <v>0</v>
      </c>
      <c r="K799">
        <v>950</v>
      </c>
      <c r="L799">
        <v>0</v>
      </c>
      <c r="M799">
        <v>46.6</v>
      </c>
      <c r="N799">
        <v>1.929</v>
      </c>
      <c r="O799">
        <f>(Table1[[#This Row],[P]]&lt;&gt;0)*(Table1[[#This Row],[C]]&lt;&gt;0)</f>
        <v>0</v>
      </c>
      <c r="P799">
        <f>NETWORKDAYS(Table1[[#This Row],[ts_event]],Table1[[#This Row],[option_expiry_date]])</f>
        <v>12</v>
      </c>
      <c r="Q799">
        <f>Table1[[#This Row],[Column2]]/252</f>
        <v>4.7619047619047616E-2</v>
      </c>
      <c r="R799" s="2" t="e">
        <f>IF(Table1[[#This Row],[CHECK2]]=0,NA(),
-(1/Table1[[#This Row],[T]])*LN((Table1[[#This Row],[S0]]-Table1[[#This Row],[C]]+Table1[[#This Row],[P]])/Table1[[#This Row],[K]])
)</f>
        <v>#N/A</v>
      </c>
    </row>
    <row r="800" spans="1:18">
      <c r="A800">
        <v>1</v>
      </c>
      <c r="B800" t="s">
        <v>10</v>
      </c>
      <c r="C800" s="1">
        <v>46154</v>
      </c>
      <c r="D800" t="s">
        <v>14</v>
      </c>
      <c r="E800">
        <v>37</v>
      </c>
      <c r="F800" t="s">
        <v>12</v>
      </c>
      <c r="G800" t="s">
        <v>13</v>
      </c>
      <c r="H800" s="1">
        <v>46169</v>
      </c>
      <c r="I800">
        <v>0.25</v>
      </c>
      <c r="J800">
        <v>0</v>
      </c>
      <c r="K800">
        <v>50</v>
      </c>
      <c r="L800">
        <v>0</v>
      </c>
      <c r="M800">
        <v>46.6</v>
      </c>
      <c r="N800">
        <v>1.929</v>
      </c>
      <c r="O800">
        <f>(Table1[[#This Row],[P]]&lt;&gt;0)*(Table1[[#This Row],[C]]&lt;&gt;0)</f>
        <v>0</v>
      </c>
      <c r="P800">
        <f>NETWORKDAYS(Table1[[#This Row],[ts_event]],Table1[[#This Row],[option_expiry_date]])</f>
        <v>12</v>
      </c>
      <c r="Q800">
        <f>Table1[[#This Row],[Column2]]/252</f>
        <v>4.7619047619047616E-2</v>
      </c>
      <c r="R800" s="2" t="e">
        <f>IF(Table1[[#This Row],[CHECK2]]=0,NA(),
-(1/Table1[[#This Row],[T]])*LN((Table1[[#This Row],[S0]]-Table1[[#This Row],[C]]+Table1[[#This Row],[P]])/Table1[[#This Row],[K]])
)</f>
        <v>#N/A</v>
      </c>
    </row>
    <row r="801" spans="1:18">
      <c r="A801">
        <v>1</v>
      </c>
      <c r="B801" t="s">
        <v>10</v>
      </c>
      <c r="C801" s="1">
        <v>46154</v>
      </c>
      <c r="D801" t="s">
        <v>14</v>
      </c>
      <c r="E801">
        <v>38.5</v>
      </c>
      <c r="F801" t="s">
        <v>12</v>
      </c>
      <c r="G801" t="s">
        <v>13</v>
      </c>
      <c r="H801" s="1">
        <v>46169</v>
      </c>
      <c r="I801">
        <v>0.35</v>
      </c>
      <c r="J801">
        <v>0</v>
      </c>
      <c r="K801">
        <v>25</v>
      </c>
      <c r="L801">
        <v>0</v>
      </c>
      <c r="M801">
        <v>46.6</v>
      </c>
      <c r="N801">
        <v>1.929</v>
      </c>
      <c r="O801">
        <f>(Table1[[#This Row],[P]]&lt;&gt;0)*(Table1[[#This Row],[C]]&lt;&gt;0)</f>
        <v>0</v>
      </c>
      <c r="P801">
        <f>NETWORKDAYS(Table1[[#This Row],[ts_event]],Table1[[#This Row],[option_expiry_date]])</f>
        <v>12</v>
      </c>
      <c r="Q801">
        <f>Table1[[#This Row],[Column2]]/252</f>
        <v>4.7619047619047616E-2</v>
      </c>
      <c r="R801" s="2" t="e">
        <f>IF(Table1[[#This Row],[CHECK2]]=0,NA(),
-(1/Table1[[#This Row],[T]])*LN((Table1[[#This Row],[S0]]-Table1[[#This Row],[C]]+Table1[[#This Row],[P]])/Table1[[#This Row],[K]])
)</f>
        <v>#N/A</v>
      </c>
    </row>
    <row r="802" spans="1:18">
      <c r="A802">
        <v>1</v>
      </c>
      <c r="B802" t="s">
        <v>10</v>
      </c>
      <c r="C802" s="1">
        <v>46154</v>
      </c>
      <c r="D802" t="s">
        <v>14</v>
      </c>
      <c r="E802">
        <v>39</v>
      </c>
      <c r="F802" t="s">
        <v>12</v>
      </c>
      <c r="G802" t="s">
        <v>13</v>
      </c>
      <c r="H802" s="1">
        <v>46169</v>
      </c>
      <c r="I802">
        <v>0.41</v>
      </c>
      <c r="J802">
        <v>0</v>
      </c>
      <c r="K802">
        <v>100</v>
      </c>
      <c r="L802">
        <v>0</v>
      </c>
      <c r="M802">
        <v>46.6</v>
      </c>
      <c r="N802">
        <v>1.929</v>
      </c>
      <c r="O802">
        <f>(Table1[[#This Row],[P]]&lt;&gt;0)*(Table1[[#This Row],[C]]&lt;&gt;0)</f>
        <v>0</v>
      </c>
      <c r="P802">
        <f>NETWORKDAYS(Table1[[#This Row],[ts_event]],Table1[[#This Row],[option_expiry_date]])</f>
        <v>12</v>
      </c>
      <c r="Q802">
        <f>Table1[[#This Row],[Column2]]/252</f>
        <v>4.7619047619047616E-2</v>
      </c>
      <c r="R802" s="2" t="e">
        <f>IF(Table1[[#This Row],[CHECK2]]=0,NA(),
-(1/Table1[[#This Row],[T]])*LN((Table1[[#This Row],[S0]]-Table1[[#This Row],[C]]+Table1[[#This Row],[P]])/Table1[[#This Row],[K]])
)</f>
        <v>#N/A</v>
      </c>
    </row>
    <row r="803" spans="1:18">
      <c r="A803">
        <v>2</v>
      </c>
      <c r="B803" t="s">
        <v>10</v>
      </c>
      <c r="C803" s="1">
        <v>46154</v>
      </c>
      <c r="D803" t="s">
        <v>14</v>
      </c>
      <c r="E803">
        <v>40</v>
      </c>
      <c r="F803" t="s">
        <v>12</v>
      </c>
      <c r="G803" t="s">
        <v>13</v>
      </c>
      <c r="H803" s="1">
        <v>46169</v>
      </c>
      <c r="I803">
        <v>0.61523809523809503</v>
      </c>
      <c r="J803">
        <v>0</v>
      </c>
      <c r="K803">
        <v>2100</v>
      </c>
      <c r="L803">
        <v>0</v>
      </c>
      <c r="M803">
        <v>46.6</v>
      </c>
      <c r="N803">
        <v>1.929</v>
      </c>
      <c r="O803">
        <f>(Table1[[#This Row],[P]]&lt;&gt;0)*(Table1[[#This Row],[C]]&lt;&gt;0)</f>
        <v>0</v>
      </c>
      <c r="P803">
        <f>NETWORKDAYS(Table1[[#This Row],[ts_event]],Table1[[#This Row],[option_expiry_date]])</f>
        <v>12</v>
      </c>
      <c r="Q803">
        <f>Table1[[#This Row],[Column2]]/252</f>
        <v>4.7619047619047616E-2</v>
      </c>
      <c r="R803" s="2" t="e">
        <f>IF(Table1[[#This Row],[CHECK2]]=0,NA(),
-(1/Table1[[#This Row],[T]])*LN((Table1[[#This Row],[S0]]-Table1[[#This Row],[C]]+Table1[[#This Row],[P]])/Table1[[#This Row],[K]])
)</f>
        <v>#N/A</v>
      </c>
    </row>
    <row r="804" spans="1:18">
      <c r="A804">
        <v>2</v>
      </c>
      <c r="B804" t="s">
        <v>10</v>
      </c>
      <c r="C804" s="1">
        <v>46154</v>
      </c>
      <c r="D804" t="s">
        <v>14</v>
      </c>
      <c r="E804">
        <v>42</v>
      </c>
      <c r="F804" t="s">
        <v>12</v>
      </c>
      <c r="G804" t="s">
        <v>13</v>
      </c>
      <c r="H804" s="1">
        <v>46169</v>
      </c>
      <c r="I804">
        <v>1.00465116279069</v>
      </c>
      <c r="J804">
        <v>0</v>
      </c>
      <c r="K804">
        <v>2150</v>
      </c>
      <c r="L804">
        <v>0</v>
      </c>
      <c r="M804">
        <v>46.6</v>
      </c>
      <c r="N804">
        <v>1.929</v>
      </c>
      <c r="O804">
        <f>(Table1[[#This Row],[P]]&lt;&gt;0)*(Table1[[#This Row],[C]]&lt;&gt;0)</f>
        <v>0</v>
      </c>
      <c r="P804">
        <f>NETWORKDAYS(Table1[[#This Row],[ts_event]],Table1[[#This Row],[option_expiry_date]])</f>
        <v>12</v>
      </c>
      <c r="Q804">
        <f>Table1[[#This Row],[Column2]]/252</f>
        <v>4.7619047619047616E-2</v>
      </c>
      <c r="R804" s="2" t="e">
        <f>IF(Table1[[#This Row],[CHECK2]]=0,NA(),
-(1/Table1[[#This Row],[T]])*LN((Table1[[#This Row],[S0]]-Table1[[#This Row],[C]]+Table1[[#This Row],[P]])/Table1[[#This Row],[K]])
)</f>
        <v>#N/A</v>
      </c>
    </row>
    <row r="805" spans="1:18">
      <c r="A805">
        <v>1</v>
      </c>
      <c r="B805" t="s">
        <v>10</v>
      </c>
      <c r="C805" s="1">
        <v>46154</v>
      </c>
      <c r="D805" t="s">
        <v>14</v>
      </c>
      <c r="E805">
        <v>43</v>
      </c>
      <c r="F805" t="s">
        <v>12</v>
      </c>
      <c r="G805" t="s">
        <v>13</v>
      </c>
      <c r="H805" s="1">
        <v>46169</v>
      </c>
      <c r="I805">
        <v>1.37</v>
      </c>
      <c r="J805">
        <v>0</v>
      </c>
      <c r="K805">
        <v>400</v>
      </c>
      <c r="L805">
        <v>0</v>
      </c>
      <c r="M805">
        <v>46.6</v>
      </c>
      <c r="N805">
        <v>1.929</v>
      </c>
      <c r="O805">
        <f>(Table1[[#This Row],[P]]&lt;&gt;0)*(Table1[[#This Row],[C]]&lt;&gt;0)</f>
        <v>0</v>
      </c>
      <c r="P805">
        <f>NETWORKDAYS(Table1[[#This Row],[ts_event]],Table1[[#This Row],[option_expiry_date]])</f>
        <v>12</v>
      </c>
      <c r="Q805">
        <f>Table1[[#This Row],[Column2]]/252</f>
        <v>4.7619047619047616E-2</v>
      </c>
      <c r="R805" s="2" t="e">
        <f>IF(Table1[[#This Row],[CHECK2]]=0,NA(),
-(1/Table1[[#This Row],[T]])*LN((Table1[[#This Row],[S0]]-Table1[[#This Row],[C]]+Table1[[#This Row],[P]])/Table1[[#This Row],[K]])
)</f>
        <v>#N/A</v>
      </c>
    </row>
    <row r="806" spans="1:18">
      <c r="A806">
        <v>1</v>
      </c>
      <c r="B806" t="s">
        <v>10</v>
      </c>
      <c r="C806" s="1">
        <v>46154</v>
      </c>
      <c r="D806" t="s">
        <v>14</v>
      </c>
      <c r="E806">
        <v>44</v>
      </c>
      <c r="F806" t="s">
        <v>12</v>
      </c>
      <c r="G806" t="s">
        <v>13</v>
      </c>
      <c r="H806" s="1">
        <v>46169</v>
      </c>
      <c r="I806">
        <v>1.8599999999999901</v>
      </c>
      <c r="J806">
        <v>0</v>
      </c>
      <c r="K806">
        <v>85</v>
      </c>
      <c r="L806">
        <v>0</v>
      </c>
      <c r="M806">
        <v>46.6</v>
      </c>
      <c r="N806">
        <v>1.929</v>
      </c>
      <c r="O806">
        <f>(Table1[[#This Row],[P]]&lt;&gt;0)*(Table1[[#This Row],[C]]&lt;&gt;0)</f>
        <v>0</v>
      </c>
      <c r="P806">
        <f>NETWORKDAYS(Table1[[#This Row],[ts_event]],Table1[[#This Row],[option_expiry_date]])</f>
        <v>12</v>
      </c>
      <c r="Q806">
        <f>Table1[[#This Row],[Column2]]/252</f>
        <v>4.7619047619047616E-2</v>
      </c>
      <c r="R806" s="2" t="e">
        <f>IF(Table1[[#This Row],[CHECK2]]=0,NA(),
-(1/Table1[[#This Row],[T]])*LN((Table1[[#This Row],[S0]]-Table1[[#This Row],[C]]+Table1[[#This Row],[P]])/Table1[[#This Row],[K]])
)</f>
        <v>#N/A</v>
      </c>
    </row>
    <row r="807" spans="1:18">
      <c r="A807">
        <v>2</v>
      </c>
      <c r="B807" t="s">
        <v>10</v>
      </c>
      <c r="C807" s="1">
        <v>46154</v>
      </c>
      <c r="D807" t="s">
        <v>14</v>
      </c>
      <c r="E807">
        <v>45</v>
      </c>
      <c r="F807" t="s">
        <v>12</v>
      </c>
      <c r="G807" t="s">
        <v>13</v>
      </c>
      <c r="H807" s="1">
        <v>46169</v>
      </c>
      <c r="I807">
        <v>2.2400000000000002</v>
      </c>
      <c r="J807">
        <v>3.95</v>
      </c>
      <c r="K807">
        <v>700</v>
      </c>
      <c r="L807">
        <v>1200</v>
      </c>
      <c r="M807">
        <v>46.6</v>
      </c>
      <c r="N807">
        <v>1.929</v>
      </c>
      <c r="O807">
        <f>(Table1[[#This Row],[P]]&lt;&gt;0)*(Table1[[#This Row],[C]]&lt;&gt;0)</f>
        <v>1</v>
      </c>
      <c r="P807">
        <f>NETWORKDAYS(Table1[[#This Row],[ts_event]],Table1[[#This Row],[option_expiry_date]])</f>
        <v>12</v>
      </c>
      <c r="Q807">
        <f>Table1[[#This Row],[Column2]]/252</f>
        <v>4.7619047619047616E-2</v>
      </c>
      <c r="R807" s="2">
        <f>IF(Table1[[#This Row],[CHECK2]]=0,NA(),
-(1/Table1[[#This Row],[T]])*LN((Table1[[#This Row],[S0]]-Table1[[#This Row],[C]]+Table1[[#This Row],[P]])/Table1[[#This Row],[K]])
)</f>
        <v>5.1396176506059689E-2</v>
      </c>
    </row>
    <row r="808" spans="1:18">
      <c r="A808">
        <v>2</v>
      </c>
      <c r="B808" t="s">
        <v>10</v>
      </c>
      <c r="C808" s="1">
        <v>46154</v>
      </c>
      <c r="D808" t="s">
        <v>14</v>
      </c>
      <c r="E808">
        <v>46</v>
      </c>
      <c r="F808" t="s">
        <v>12</v>
      </c>
      <c r="G808" t="s">
        <v>13</v>
      </c>
      <c r="H808" s="1">
        <v>46169</v>
      </c>
      <c r="I808">
        <v>2.87</v>
      </c>
      <c r="J808">
        <v>3.8</v>
      </c>
      <c r="K808">
        <v>200</v>
      </c>
      <c r="L808">
        <v>25</v>
      </c>
      <c r="M808">
        <v>46.6</v>
      </c>
      <c r="N808">
        <v>1.929</v>
      </c>
      <c r="O808">
        <f>(Table1[[#This Row],[P]]&lt;&gt;0)*(Table1[[#This Row],[C]]&lt;&gt;0)</f>
        <v>1</v>
      </c>
      <c r="P808">
        <f>NETWORKDAYS(Table1[[#This Row],[ts_event]],Table1[[#This Row],[option_expiry_date]])</f>
        <v>12</v>
      </c>
      <c r="Q808">
        <f>Table1[[#This Row],[Column2]]/252</f>
        <v>4.7619047619047616E-2</v>
      </c>
      <c r="R808" s="2">
        <f>IF(Table1[[#This Row],[CHECK2]]=0,NA(),
-(1/Table1[[#This Row],[T]])*LN((Table1[[#This Row],[S0]]-Table1[[#This Row],[C]]+Table1[[#This Row],[P]])/Table1[[#This Row],[K]])
)</f>
        <v>0.15119515513593529</v>
      </c>
    </row>
    <row r="809" spans="1:18">
      <c r="A809">
        <v>2</v>
      </c>
      <c r="B809" t="s">
        <v>10</v>
      </c>
      <c r="C809" s="1">
        <v>46154</v>
      </c>
      <c r="D809" t="s">
        <v>14</v>
      </c>
      <c r="E809">
        <v>47</v>
      </c>
      <c r="F809" t="s">
        <v>12</v>
      </c>
      <c r="G809" t="s">
        <v>13</v>
      </c>
      <c r="H809" s="1">
        <v>46169</v>
      </c>
      <c r="I809">
        <v>3.415</v>
      </c>
      <c r="J809">
        <v>3.16</v>
      </c>
      <c r="K809">
        <v>1500</v>
      </c>
      <c r="L809">
        <v>400</v>
      </c>
      <c r="M809">
        <v>46.6</v>
      </c>
      <c r="N809">
        <v>1.929</v>
      </c>
      <c r="O809">
        <f>(Table1[[#This Row],[P]]&lt;&gt;0)*(Table1[[#This Row],[C]]&lt;&gt;0)</f>
        <v>1</v>
      </c>
      <c r="P809">
        <f>NETWORKDAYS(Table1[[#This Row],[ts_event]],Table1[[#This Row],[option_expiry_date]])</f>
        <v>12</v>
      </c>
      <c r="Q809">
        <f>Table1[[#This Row],[Column2]]/252</f>
        <v>4.7619047619047616E-2</v>
      </c>
      <c r="R809" s="2">
        <f>IF(Table1[[#This Row],[CHECK2]]=0,NA(),
-(1/Table1[[#This Row],[T]])*LN((Table1[[#This Row],[S0]]-Table1[[#This Row],[C]]+Table1[[#This Row],[P]])/Table1[[#This Row],[K]])
)</f>
        <v>6.4887377819705341E-2</v>
      </c>
    </row>
    <row r="810" spans="1:18">
      <c r="A810">
        <v>3</v>
      </c>
      <c r="B810" t="s">
        <v>10</v>
      </c>
      <c r="C810" s="1">
        <v>46154</v>
      </c>
      <c r="D810" t="s">
        <v>14</v>
      </c>
      <c r="E810">
        <v>48</v>
      </c>
      <c r="F810" t="s">
        <v>12</v>
      </c>
      <c r="G810" t="s">
        <v>13</v>
      </c>
      <c r="H810" s="1">
        <v>46169</v>
      </c>
      <c r="I810">
        <v>4.0350000000000001</v>
      </c>
      <c r="J810">
        <v>2.96</v>
      </c>
      <c r="K810">
        <v>50</v>
      </c>
      <c r="L810">
        <v>300</v>
      </c>
      <c r="M810">
        <v>46.6</v>
      </c>
      <c r="N810">
        <v>1.929</v>
      </c>
      <c r="O810">
        <f>(Table1[[#This Row],[P]]&lt;&gt;0)*(Table1[[#This Row],[C]]&lt;&gt;0)</f>
        <v>1</v>
      </c>
      <c r="P810">
        <f>NETWORKDAYS(Table1[[#This Row],[ts_event]],Table1[[#This Row],[option_expiry_date]])</f>
        <v>12</v>
      </c>
      <c r="Q810">
        <f>Table1[[#This Row],[Column2]]/252</f>
        <v>4.7619047619047616E-2</v>
      </c>
      <c r="R810" s="2">
        <f>IF(Table1[[#This Row],[CHECK2]]=0,NA(),
-(1/Table1[[#This Row],[T]])*LN((Table1[[#This Row],[S0]]-Table1[[#This Row],[C]]+Table1[[#This Row],[P]])/Table1[[#This Row],[K]])
)</f>
        <v>0.14267104784957274</v>
      </c>
    </row>
    <row r="811" spans="1:18">
      <c r="A811">
        <v>2</v>
      </c>
      <c r="B811" t="s">
        <v>10</v>
      </c>
      <c r="C811" s="1">
        <v>46154</v>
      </c>
      <c r="D811" t="s">
        <v>14</v>
      </c>
      <c r="E811">
        <v>50</v>
      </c>
      <c r="F811" t="s">
        <v>12</v>
      </c>
      <c r="G811" t="s">
        <v>13</v>
      </c>
      <c r="H811" s="1">
        <v>46169</v>
      </c>
      <c r="I811">
        <v>5.2</v>
      </c>
      <c r="J811">
        <v>2.4249999999999998</v>
      </c>
      <c r="K811">
        <v>110</v>
      </c>
      <c r="L811">
        <v>1370</v>
      </c>
      <c r="M811">
        <v>46.6</v>
      </c>
      <c r="N811">
        <v>1.929</v>
      </c>
      <c r="O811">
        <f>(Table1[[#This Row],[P]]&lt;&gt;0)*(Table1[[#This Row],[C]]&lt;&gt;0)</f>
        <v>1</v>
      </c>
      <c r="P811">
        <f>NETWORKDAYS(Table1[[#This Row],[ts_event]],Table1[[#This Row],[option_expiry_date]])</f>
        <v>12</v>
      </c>
      <c r="Q811">
        <f>Table1[[#This Row],[Column2]]/252</f>
        <v>4.7619047619047616E-2</v>
      </c>
      <c r="R811" s="2">
        <f>IF(Table1[[#This Row],[CHECK2]]=0,NA(),
-(1/Table1[[#This Row],[T]])*LN((Table1[[#This Row],[S0]]-Table1[[#This Row],[C]]+Table1[[#This Row],[P]])/Table1[[#This Row],[K]])
)</f>
        <v>0.26415442634405917</v>
      </c>
    </row>
    <row r="812" spans="1:18">
      <c r="A812">
        <v>1</v>
      </c>
      <c r="B812" t="s">
        <v>10</v>
      </c>
      <c r="C812" s="1">
        <v>46154</v>
      </c>
      <c r="D812" t="s">
        <v>14</v>
      </c>
      <c r="E812">
        <v>53</v>
      </c>
      <c r="F812" t="s">
        <v>12</v>
      </c>
      <c r="G812" t="s">
        <v>13</v>
      </c>
      <c r="H812" s="1">
        <v>46169</v>
      </c>
      <c r="I812">
        <v>0</v>
      </c>
      <c r="J812">
        <v>1.7250000000000001</v>
      </c>
      <c r="K812">
        <v>0</v>
      </c>
      <c r="L812">
        <v>400</v>
      </c>
      <c r="M812">
        <v>46.6</v>
      </c>
      <c r="N812">
        <v>1.929</v>
      </c>
      <c r="O812">
        <f>(Table1[[#This Row],[P]]&lt;&gt;0)*(Table1[[#This Row],[C]]&lt;&gt;0)</f>
        <v>0</v>
      </c>
      <c r="P812">
        <f>NETWORKDAYS(Table1[[#This Row],[ts_event]],Table1[[#This Row],[option_expiry_date]])</f>
        <v>12</v>
      </c>
      <c r="Q812">
        <f>Table1[[#This Row],[Column2]]/252</f>
        <v>4.7619047619047616E-2</v>
      </c>
      <c r="R812" s="2" t="e">
        <f>IF(Table1[[#This Row],[CHECK2]]=0,NA(),
-(1/Table1[[#This Row],[T]])*LN((Table1[[#This Row],[S0]]-Table1[[#This Row],[C]]+Table1[[#This Row],[P]])/Table1[[#This Row],[K]])
)</f>
        <v>#N/A</v>
      </c>
    </row>
    <row r="813" spans="1:18">
      <c r="A813">
        <v>2</v>
      </c>
      <c r="B813" t="s">
        <v>10</v>
      </c>
      <c r="C813" s="1">
        <v>46154</v>
      </c>
      <c r="D813" t="s">
        <v>14</v>
      </c>
      <c r="E813">
        <v>55</v>
      </c>
      <c r="F813" t="s">
        <v>12</v>
      </c>
      <c r="G813" t="s">
        <v>13</v>
      </c>
      <c r="H813" s="1">
        <v>46169</v>
      </c>
      <c r="I813">
        <v>0</v>
      </c>
      <c r="J813">
        <v>1.29970238095238</v>
      </c>
      <c r="K813">
        <v>0</v>
      </c>
      <c r="L813">
        <v>2100</v>
      </c>
      <c r="M813">
        <v>46.6</v>
      </c>
      <c r="N813">
        <v>1.929</v>
      </c>
      <c r="O813">
        <f>(Table1[[#This Row],[P]]&lt;&gt;0)*(Table1[[#This Row],[C]]&lt;&gt;0)</f>
        <v>0</v>
      </c>
      <c r="P813">
        <f>NETWORKDAYS(Table1[[#This Row],[ts_event]],Table1[[#This Row],[option_expiry_date]])</f>
        <v>12</v>
      </c>
      <c r="Q813">
        <f>Table1[[#This Row],[Column2]]/252</f>
        <v>4.7619047619047616E-2</v>
      </c>
      <c r="R813" s="2" t="e">
        <f>IF(Table1[[#This Row],[CHECK2]]=0,NA(),
-(1/Table1[[#This Row],[T]])*LN((Table1[[#This Row],[S0]]-Table1[[#This Row],[C]]+Table1[[#This Row],[P]])/Table1[[#This Row],[K]])
)</f>
        <v>#N/A</v>
      </c>
    </row>
    <row r="814" spans="1:18">
      <c r="A814">
        <v>1</v>
      </c>
      <c r="B814" t="s">
        <v>10</v>
      </c>
      <c r="C814" s="1">
        <v>46154</v>
      </c>
      <c r="D814" t="s">
        <v>14</v>
      </c>
      <c r="E814">
        <v>58</v>
      </c>
      <c r="F814" t="s">
        <v>12</v>
      </c>
      <c r="G814" t="s">
        <v>13</v>
      </c>
      <c r="H814" s="1">
        <v>46169</v>
      </c>
      <c r="I814">
        <v>0</v>
      </c>
      <c r="J814">
        <v>1.05</v>
      </c>
      <c r="K814">
        <v>0</v>
      </c>
      <c r="L814">
        <v>200</v>
      </c>
      <c r="M814">
        <v>46.6</v>
      </c>
      <c r="N814">
        <v>1.929</v>
      </c>
      <c r="O814">
        <f>(Table1[[#This Row],[P]]&lt;&gt;0)*(Table1[[#This Row],[C]]&lt;&gt;0)</f>
        <v>0</v>
      </c>
      <c r="P814">
        <f>NETWORKDAYS(Table1[[#This Row],[ts_event]],Table1[[#This Row],[option_expiry_date]])</f>
        <v>12</v>
      </c>
      <c r="Q814">
        <f>Table1[[#This Row],[Column2]]/252</f>
        <v>4.7619047619047616E-2</v>
      </c>
      <c r="R814" s="2" t="e">
        <f>IF(Table1[[#This Row],[CHECK2]]=0,NA(),
-(1/Table1[[#This Row],[T]])*LN((Table1[[#This Row],[S0]]-Table1[[#This Row],[C]]+Table1[[#This Row],[P]])/Table1[[#This Row],[K]])
)</f>
        <v>#N/A</v>
      </c>
    </row>
    <row r="815" spans="1:18">
      <c r="A815">
        <v>2</v>
      </c>
      <c r="B815" t="s">
        <v>10</v>
      </c>
      <c r="C815" s="1">
        <v>46154</v>
      </c>
      <c r="D815" t="s">
        <v>14</v>
      </c>
      <c r="E815">
        <v>60</v>
      </c>
      <c r="F815" t="s">
        <v>12</v>
      </c>
      <c r="G815" t="s">
        <v>13</v>
      </c>
      <c r="H815" s="1">
        <v>46169</v>
      </c>
      <c r="I815">
        <v>0</v>
      </c>
      <c r="J815">
        <v>0.85707142857142804</v>
      </c>
      <c r="K815">
        <v>0</v>
      </c>
      <c r="L815">
        <v>700</v>
      </c>
      <c r="M815">
        <v>46.6</v>
      </c>
      <c r="N815">
        <v>1.929</v>
      </c>
      <c r="O815">
        <f>(Table1[[#This Row],[P]]&lt;&gt;0)*(Table1[[#This Row],[C]]&lt;&gt;0)</f>
        <v>0</v>
      </c>
      <c r="P815">
        <f>NETWORKDAYS(Table1[[#This Row],[ts_event]],Table1[[#This Row],[option_expiry_date]])</f>
        <v>12</v>
      </c>
      <c r="Q815">
        <f>Table1[[#This Row],[Column2]]/252</f>
        <v>4.7619047619047616E-2</v>
      </c>
      <c r="R815" s="2" t="e">
        <f>IF(Table1[[#This Row],[CHECK2]]=0,NA(),
-(1/Table1[[#This Row],[T]])*LN((Table1[[#This Row],[S0]]-Table1[[#This Row],[C]]+Table1[[#This Row],[P]])/Table1[[#This Row],[K]])
)</f>
        <v>#N/A</v>
      </c>
    </row>
    <row r="816" spans="1:18">
      <c r="A816">
        <v>1</v>
      </c>
      <c r="B816" t="s">
        <v>10</v>
      </c>
      <c r="C816" s="1">
        <v>46154</v>
      </c>
      <c r="D816" t="s">
        <v>14</v>
      </c>
      <c r="E816">
        <v>62</v>
      </c>
      <c r="F816" t="s">
        <v>12</v>
      </c>
      <c r="G816" t="s">
        <v>13</v>
      </c>
      <c r="H816" s="1">
        <v>46169</v>
      </c>
      <c r="I816">
        <v>0</v>
      </c>
      <c r="J816">
        <v>0.61</v>
      </c>
      <c r="K816">
        <v>0</v>
      </c>
      <c r="L816">
        <v>10</v>
      </c>
      <c r="M816">
        <v>46.6</v>
      </c>
      <c r="N816">
        <v>1.929</v>
      </c>
      <c r="O816">
        <f>(Table1[[#This Row],[P]]&lt;&gt;0)*(Table1[[#This Row],[C]]&lt;&gt;0)</f>
        <v>0</v>
      </c>
      <c r="P816">
        <f>NETWORKDAYS(Table1[[#This Row],[ts_event]],Table1[[#This Row],[option_expiry_date]])</f>
        <v>12</v>
      </c>
      <c r="Q816">
        <f>Table1[[#This Row],[Column2]]/252</f>
        <v>4.7619047619047616E-2</v>
      </c>
      <c r="R816" s="2" t="e">
        <f>IF(Table1[[#This Row],[CHECK2]]=0,NA(),
-(1/Table1[[#This Row],[T]])*LN((Table1[[#This Row],[S0]]-Table1[[#This Row],[C]]+Table1[[#This Row],[P]])/Table1[[#This Row],[K]])
)</f>
        <v>#N/A</v>
      </c>
    </row>
    <row r="817" spans="1:18">
      <c r="A817">
        <v>2</v>
      </c>
      <c r="B817" t="s">
        <v>10</v>
      </c>
      <c r="C817" s="1">
        <v>46154</v>
      </c>
      <c r="D817" t="s">
        <v>14</v>
      </c>
      <c r="E817">
        <v>65</v>
      </c>
      <c r="F817" t="s">
        <v>12</v>
      </c>
      <c r="G817" t="s">
        <v>13</v>
      </c>
      <c r="H817" s="1">
        <v>46169</v>
      </c>
      <c r="I817">
        <v>0</v>
      </c>
      <c r="J817">
        <v>0.55492307692307696</v>
      </c>
      <c r="K817">
        <v>0</v>
      </c>
      <c r="L817">
        <v>1625</v>
      </c>
      <c r="M817">
        <v>46.6</v>
      </c>
      <c r="N817">
        <v>1.929</v>
      </c>
      <c r="O817">
        <f>(Table1[[#This Row],[P]]&lt;&gt;0)*(Table1[[#This Row],[C]]&lt;&gt;0)</f>
        <v>0</v>
      </c>
      <c r="P817">
        <f>NETWORKDAYS(Table1[[#This Row],[ts_event]],Table1[[#This Row],[option_expiry_date]])</f>
        <v>12</v>
      </c>
      <c r="Q817">
        <f>Table1[[#This Row],[Column2]]/252</f>
        <v>4.7619047619047616E-2</v>
      </c>
      <c r="R817" s="2" t="e">
        <f>IF(Table1[[#This Row],[CHECK2]]=0,NA(),
-(1/Table1[[#This Row],[T]])*LN((Table1[[#This Row],[S0]]-Table1[[#This Row],[C]]+Table1[[#This Row],[P]])/Table1[[#This Row],[K]])
)</f>
        <v>#N/A</v>
      </c>
    </row>
    <row r="818" spans="1:18">
      <c r="A818">
        <v>1</v>
      </c>
      <c r="B818" t="s">
        <v>10</v>
      </c>
      <c r="C818" s="1">
        <v>46154</v>
      </c>
      <c r="D818" t="s">
        <v>15</v>
      </c>
      <c r="E818">
        <v>31</v>
      </c>
      <c r="F818" t="s">
        <v>12</v>
      </c>
      <c r="G818" t="s">
        <v>13</v>
      </c>
      <c r="H818" s="1">
        <v>46199</v>
      </c>
      <c r="I818">
        <v>0.18</v>
      </c>
      <c r="J818">
        <v>0</v>
      </c>
      <c r="K818">
        <v>500</v>
      </c>
      <c r="L818">
        <v>0</v>
      </c>
      <c r="M818">
        <v>46.555097034416598</v>
      </c>
      <c r="N818">
        <v>1.929</v>
      </c>
      <c r="O818">
        <f>(Table1[[#This Row],[P]]&lt;&gt;0)*(Table1[[#This Row],[C]]&lt;&gt;0)</f>
        <v>0</v>
      </c>
      <c r="P818">
        <f>NETWORKDAYS(Table1[[#This Row],[ts_event]],Table1[[#This Row],[option_expiry_date]])</f>
        <v>34</v>
      </c>
      <c r="Q818">
        <f>Table1[[#This Row],[Column2]]/252</f>
        <v>0.13492063492063491</v>
      </c>
      <c r="R818" s="2" t="e">
        <f>IF(Table1[[#This Row],[CHECK2]]=0,NA(),
-(1/Table1[[#This Row],[T]])*LN((Table1[[#This Row],[S0]]-Table1[[#This Row],[C]]+Table1[[#This Row],[P]])/Table1[[#This Row],[K]])
)</f>
        <v>#N/A</v>
      </c>
    </row>
    <row r="819" spans="1:18">
      <c r="A819">
        <v>1</v>
      </c>
      <c r="B819" t="s">
        <v>10</v>
      </c>
      <c r="C819" s="1">
        <v>46154</v>
      </c>
      <c r="D819" t="s">
        <v>15</v>
      </c>
      <c r="E819">
        <v>34</v>
      </c>
      <c r="F819" t="s">
        <v>12</v>
      </c>
      <c r="G819" t="s">
        <v>13</v>
      </c>
      <c r="H819" s="1">
        <v>46199</v>
      </c>
      <c r="I819">
        <v>0.375</v>
      </c>
      <c r="J819">
        <v>0</v>
      </c>
      <c r="K819">
        <v>500</v>
      </c>
      <c r="L819">
        <v>0</v>
      </c>
      <c r="M819">
        <v>46.555097034416598</v>
      </c>
      <c r="N819">
        <v>1.929</v>
      </c>
      <c r="O819">
        <f>(Table1[[#This Row],[P]]&lt;&gt;0)*(Table1[[#This Row],[C]]&lt;&gt;0)</f>
        <v>0</v>
      </c>
      <c r="P819">
        <f>NETWORKDAYS(Table1[[#This Row],[ts_event]],Table1[[#This Row],[option_expiry_date]])</f>
        <v>34</v>
      </c>
      <c r="Q819">
        <f>Table1[[#This Row],[Column2]]/252</f>
        <v>0.13492063492063491</v>
      </c>
      <c r="R819" s="2" t="e">
        <f>IF(Table1[[#This Row],[CHECK2]]=0,NA(),
-(1/Table1[[#This Row],[T]])*LN((Table1[[#This Row],[S0]]-Table1[[#This Row],[C]]+Table1[[#This Row],[P]])/Table1[[#This Row],[K]])
)</f>
        <v>#N/A</v>
      </c>
    </row>
    <row r="820" spans="1:18">
      <c r="A820">
        <v>2</v>
      </c>
      <c r="B820" t="s">
        <v>10</v>
      </c>
      <c r="C820" s="1">
        <v>46154</v>
      </c>
      <c r="D820" t="s">
        <v>15</v>
      </c>
      <c r="E820">
        <v>35</v>
      </c>
      <c r="F820" t="s">
        <v>12</v>
      </c>
      <c r="G820" t="s">
        <v>13</v>
      </c>
      <c r="H820" s="1">
        <v>46199</v>
      </c>
      <c r="I820">
        <v>0.49303278688524499</v>
      </c>
      <c r="J820">
        <v>0</v>
      </c>
      <c r="K820">
        <v>1525</v>
      </c>
      <c r="L820">
        <v>0</v>
      </c>
      <c r="M820">
        <v>46.555097034416598</v>
      </c>
      <c r="N820">
        <v>1.929</v>
      </c>
      <c r="O820">
        <f>(Table1[[#This Row],[P]]&lt;&gt;0)*(Table1[[#This Row],[C]]&lt;&gt;0)</f>
        <v>0</v>
      </c>
      <c r="P820">
        <f>NETWORKDAYS(Table1[[#This Row],[ts_event]],Table1[[#This Row],[option_expiry_date]])</f>
        <v>34</v>
      </c>
      <c r="Q820">
        <f>Table1[[#This Row],[Column2]]/252</f>
        <v>0.13492063492063491</v>
      </c>
      <c r="R820" s="2" t="e">
        <f>IF(Table1[[#This Row],[CHECK2]]=0,NA(),
-(1/Table1[[#This Row],[T]])*LN((Table1[[#This Row],[S0]]-Table1[[#This Row],[C]]+Table1[[#This Row],[P]])/Table1[[#This Row],[K]])
)</f>
        <v>#N/A</v>
      </c>
    </row>
    <row r="821" spans="1:18">
      <c r="A821">
        <v>1</v>
      </c>
      <c r="B821" t="s">
        <v>10</v>
      </c>
      <c r="C821" s="1">
        <v>46154</v>
      </c>
      <c r="D821" t="s">
        <v>15</v>
      </c>
      <c r="E821">
        <v>36</v>
      </c>
      <c r="F821" t="s">
        <v>12</v>
      </c>
      <c r="G821" t="s">
        <v>13</v>
      </c>
      <c r="H821" s="1">
        <v>46199</v>
      </c>
      <c r="I821">
        <v>0.61</v>
      </c>
      <c r="J821">
        <v>0</v>
      </c>
      <c r="K821">
        <v>50</v>
      </c>
      <c r="L821">
        <v>0</v>
      </c>
      <c r="M821">
        <v>46.555097034416598</v>
      </c>
      <c r="N821">
        <v>1.929</v>
      </c>
      <c r="O821">
        <f>(Table1[[#This Row],[P]]&lt;&gt;0)*(Table1[[#This Row],[C]]&lt;&gt;0)</f>
        <v>0</v>
      </c>
      <c r="P821">
        <f>NETWORKDAYS(Table1[[#This Row],[ts_event]],Table1[[#This Row],[option_expiry_date]])</f>
        <v>34</v>
      </c>
      <c r="Q821">
        <f>Table1[[#This Row],[Column2]]/252</f>
        <v>0.13492063492063491</v>
      </c>
      <c r="R821" s="2" t="e">
        <f>IF(Table1[[#This Row],[CHECK2]]=0,NA(),
-(1/Table1[[#This Row],[T]])*LN((Table1[[#This Row],[S0]]-Table1[[#This Row],[C]]+Table1[[#This Row],[P]])/Table1[[#This Row],[K]])
)</f>
        <v>#N/A</v>
      </c>
    </row>
    <row r="822" spans="1:18">
      <c r="A822">
        <v>1</v>
      </c>
      <c r="B822" t="s">
        <v>10</v>
      </c>
      <c r="C822" s="1">
        <v>46154</v>
      </c>
      <c r="D822" t="s">
        <v>15</v>
      </c>
      <c r="E822">
        <v>37</v>
      </c>
      <c r="F822" t="s">
        <v>12</v>
      </c>
      <c r="G822" t="s">
        <v>13</v>
      </c>
      <c r="H822" s="1">
        <v>46199</v>
      </c>
      <c r="I822">
        <v>0.73499999999999999</v>
      </c>
      <c r="J822">
        <v>0</v>
      </c>
      <c r="K822">
        <v>1100</v>
      </c>
      <c r="L822">
        <v>0</v>
      </c>
      <c r="M822">
        <v>46.555097034416598</v>
      </c>
      <c r="N822">
        <v>1.929</v>
      </c>
      <c r="O822">
        <f>(Table1[[#This Row],[P]]&lt;&gt;0)*(Table1[[#This Row],[C]]&lt;&gt;0)</f>
        <v>0</v>
      </c>
      <c r="P822">
        <f>NETWORKDAYS(Table1[[#This Row],[ts_event]],Table1[[#This Row],[option_expiry_date]])</f>
        <v>34</v>
      </c>
      <c r="Q822">
        <f>Table1[[#This Row],[Column2]]/252</f>
        <v>0.13492063492063491</v>
      </c>
      <c r="R822" s="2" t="e">
        <f>IF(Table1[[#This Row],[CHECK2]]=0,NA(),
-(1/Table1[[#This Row],[T]])*LN((Table1[[#This Row],[S0]]-Table1[[#This Row],[C]]+Table1[[#This Row],[P]])/Table1[[#This Row],[K]])
)</f>
        <v>#N/A</v>
      </c>
    </row>
    <row r="823" spans="1:18">
      <c r="A823">
        <v>1</v>
      </c>
      <c r="B823" t="s">
        <v>10</v>
      </c>
      <c r="C823" s="1">
        <v>46154</v>
      </c>
      <c r="D823" t="s">
        <v>15</v>
      </c>
      <c r="E823">
        <v>38</v>
      </c>
      <c r="F823" t="s">
        <v>12</v>
      </c>
      <c r="G823" t="s">
        <v>13</v>
      </c>
      <c r="H823" s="1">
        <v>46199</v>
      </c>
      <c r="I823">
        <v>1.085</v>
      </c>
      <c r="J823">
        <v>0</v>
      </c>
      <c r="K823">
        <v>95</v>
      </c>
      <c r="L823">
        <v>0</v>
      </c>
      <c r="M823">
        <v>46.555097034416598</v>
      </c>
      <c r="N823">
        <v>1.929</v>
      </c>
      <c r="O823">
        <f>(Table1[[#This Row],[P]]&lt;&gt;0)*(Table1[[#This Row],[C]]&lt;&gt;0)</f>
        <v>0</v>
      </c>
      <c r="P823">
        <f>NETWORKDAYS(Table1[[#This Row],[ts_event]],Table1[[#This Row],[option_expiry_date]])</f>
        <v>34</v>
      </c>
      <c r="Q823">
        <f>Table1[[#This Row],[Column2]]/252</f>
        <v>0.13492063492063491</v>
      </c>
      <c r="R823" s="2" t="e">
        <f>IF(Table1[[#This Row],[CHECK2]]=0,NA(),
-(1/Table1[[#This Row],[T]])*LN((Table1[[#This Row],[S0]]-Table1[[#This Row],[C]]+Table1[[#This Row],[P]])/Table1[[#This Row],[K]])
)</f>
        <v>#N/A</v>
      </c>
    </row>
    <row r="824" spans="1:18">
      <c r="A824">
        <v>2</v>
      </c>
      <c r="B824" t="s">
        <v>10</v>
      </c>
      <c r="C824" s="1">
        <v>46154</v>
      </c>
      <c r="D824" t="s">
        <v>15</v>
      </c>
      <c r="E824">
        <v>40</v>
      </c>
      <c r="F824" t="s">
        <v>12</v>
      </c>
      <c r="G824" t="s">
        <v>13</v>
      </c>
      <c r="H824" s="1">
        <v>46199</v>
      </c>
      <c r="I824">
        <v>1.73</v>
      </c>
      <c r="J824">
        <v>9.0500000000000007</v>
      </c>
      <c r="K824">
        <v>2650</v>
      </c>
      <c r="L824">
        <v>500</v>
      </c>
      <c r="M824">
        <v>46.555097034416598</v>
      </c>
      <c r="N824">
        <v>1.929</v>
      </c>
      <c r="O824">
        <f>(Table1[[#This Row],[P]]&lt;&gt;0)*(Table1[[#This Row],[C]]&lt;&gt;0)</f>
        <v>1</v>
      </c>
      <c r="P824">
        <f>NETWORKDAYS(Table1[[#This Row],[ts_event]],Table1[[#This Row],[option_expiry_date]])</f>
        <v>34</v>
      </c>
      <c r="Q824">
        <f>Table1[[#This Row],[Column2]]/252</f>
        <v>0.13492063492063491</v>
      </c>
      <c r="R824" s="2">
        <f>IF(Table1[[#This Row],[CHECK2]]=0,NA(),
-(1/Table1[[#This Row],[T]])*LN((Table1[[#This Row],[S0]]-Table1[[#This Row],[C]]+Table1[[#This Row],[P]])/Table1[[#This Row],[K]])
)</f>
        <v>0.14310468809551358</v>
      </c>
    </row>
    <row r="825" spans="1:18">
      <c r="A825">
        <v>1</v>
      </c>
      <c r="B825" t="s">
        <v>10</v>
      </c>
      <c r="C825" s="1">
        <v>46154</v>
      </c>
      <c r="D825" t="s">
        <v>15</v>
      </c>
      <c r="E825">
        <v>42</v>
      </c>
      <c r="F825" t="s">
        <v>12</v>
      </c>
      <c r="G825" t="s">
        <v>13</v>
      </c>
      <c r="H825" s="1">
        <v>46199</v>
      </c>
      <c r="I825">
        <v>2.4500000000000002</v>
      </c>
      <c r="J825">
        <v>0</v>
      </c>
      <c r="K825">
        <v>25</v>
      </c>
      <c r="L825">
        <v>0</v>
      </c>
      <c r="M825">
        <v>46.555097034416598</v>
      </c>
      <c r="N825">
        <v>1.929</v>
      </c>
      <c r="O825">
        <f>(Table1[[#This Row],[P]]&lt;&gt;0)*(Table1[[#This Row],[C]]&lt;&gt;0)</f>
        <v>0</v>
      </c>
      <c r="P825">
        <f>NETWORKDAYS(Table1[[#This Row],[ts_event]],Table1[[#This Row],[option_expiry_date]])</f>
        <v>34</v>
      </c>
      <c r="Q825">
        <f>Table1[[#This Row],[Column2]]/252</f>
        <v>0.13492063492063491</v>
      </c>
      <c r="R825" s="2" t="e">
        <f>IF(Table1[[#This Row],[CHECK2]]=0,NA(),
-(1/Table1[[#This Row],[T]])*LN((Table1[[#This Row],[S0]]-Table1[[#This Row],[C]]+Table1[[#This Row],[P]])/Table1[[#This Row],[K]])
)</f>
        <v>#N/A</v>
      </c>
    </row>
    <row r="826" spans="1:18">
      <c r="A826">
        <v>1</v>
      </c>
      <c r="B826" t="s">
        <v>10</v>
      </c>
      <c r="C826" s="1">
        <v>46154</v>
      </c>
      <c r="D826" t="s">
        <v>15</v>
      </c>
      <c r="E826">
        <v>45</v>
      </c>
      <c r="F826" t="s">
        <v>12</v>
      </c>
      <c r="G826" t="s">
        <v>13</v>
      </c>
      <c r="H826" s="1">
        <v>46199</v>
      </c>
      <c r="I826">
        <v>4.2750000000000004</v>
      </c>
      <c r="J826">
        <v>0</v>
      </c>
      <c r="K826">
        <v>500</v>
      </c>
      <c r="L826">
        <v>0</v>
      </c>
      <c r="M826">
        <v>46.555097034416598</v>
      </c>
      <c r="N826">
        <v>1.929</v>
      </c>
      <c r="O826">
        <f>(Table1[[#This Row],[P]]&lt;&gt;0)*(Table1[[#This Row],[C]]&lt;&gt;0)</f>
        <v>0</v>
      </c>
      <c r="P826">
        <f>NETWORKDAYS(Table1[[#This Row],[ts_event]],Table1[[#This Row],[option_expiry_date]])</f>
        <v>34</v>
      </c>
      <c r="Q826">
        <f>Table1[[#This Row],[Column2]]/252</f>
        <v>0.13492063492063491</v>
      </c>
      <c r="R826" s="2" t="e">
        <f>IF(Table1[[#This Row],[CHECK2]]=0,NA(),
-(1/Table1[[#This Row],[T]])*LN((Table1[[#This Row],[S0]]-Table1[[#This Row],[C]]+Table1[[#This Row],[P]])/Table1[[#This Row],[K]])
)</f>
        <v>#N/A</v>
      </c>
    </row>
    <row r="827" spans="1:18">
      <c r="A827">
        <v>1</v>
      </c>
      <c r="B827" t="s">
        <v>10</v>
      </c>
      <c r="C827" s="1">
        <v>46154</v>
      </c>
      <c r="D827" t="s">
        <v>15</v>
      </c>
      <c r="E827">
        <v>48</v>
      </c>
      <c r="F827" t="s">
        <v>12</v>
      </c>
      <c r="G827" t="s">
        <v>13</v>
      </c>
      <c r="H827" s="1">
        <v>46199</v>
      </c>
      <c r="I827">
        <v>0</v>
      </c>
      <c r="J827">
        <v>5.2249999999999996</v>
      </c>
      <c r="K827">
        <v>0</v>
      </c>
      <c r="L827">
        <v>400</v>
      </c>
      <c r="M827">
        <v>46.555097034416598</v>
      </c>
      <c r="N827">
        <v>1.929</v>
      </c>
      <c r="O827">
        <f>(Table1[[#This Row],[P]]&lt;&gt;0)*(Table1[[#This Row],[C]]&lt;&gt;0)</f>
        <v>0</v>
      </c>
      <c r="P827">
        <f>NETWORKDAYS(Table1[[#This Row],[ts_event]],Table1[[#This Row],[option_expiry_date]])</f>
        <v>34</v>
      </c>
      <c r="Q827">
        <f>Table1[[#This Row],[Column2]]/252</f>
        <v>0.13492063492063491</v>
      </c>
      <c r="R827" s="2" t="e">
        <f>IF(Table1[[#This Row],[CHECK2]]=0,NA(),
-(1/Table1[[#This Row],[T]])*LN((Table1[[#This Row],[S0]]-Table1[[#This Row],[C]]+Table1[[#This Row],[P]])/Table1[[#This Row],[K]])
)</f>
        <v>#N/A</v>
      </c>
    </row>
    <row r="828" spans="1:18">
      <c r="A828">
        <v>1</v>
      </c>
      <c r="B828" t="s">
        <v>10</v>
      </c>
      <c r="C828" s="1">
        <v>46154</v>
      </c>
      <c r="D828" t="s">
        <v>15</v>
      </c>
      <c r="E828">
        <v>50</v>
      </c>
      <c r="F828" t="s">
        <v>12</v>
      </c>
      <c r="G828" t="s">
        <v>13</v>
      </c>
      <c r="H828" s="1">
        <v>46199</v>
      </c>
      <c r="I828">
        <v>0</v>
      </c>
      <c r="J828">
        <v>4.6100000000000003</v>
      </c>
      <c r="K828">
        <v>0</v>
      </c>
      <c r="L828">
        <v>2425</v>
      </c>
      <c r="M828">
        <v>46.555097034416598</v>
      </c>
      <c r="N828">
        <v>1.929</v>
      </c>
      <c r="O828">
        <f>(Table1[[#This Row],[P]]&lt;&gt;0)*(Table1[[#This Row],[C]]&lt;&gt;0)</f>
        <v>0</v>
      </c>
      <c r="P828">
        <f>NETWORKDAYS(Table1[[#This Row],[ts_event]],Table1[[#This Row],[option_expiry_date]])</f>
        <v>34</v>
      </c>
      <c r="Q828">
        <f>Table1[[#This Row],[Column2]]/252</f>
        <v>0.13492063492063491</v>
      </c>
      <c r="R828" s="2" t="e">
        <f>IF(Table1[[#This Row],[CHECK2]]=0,NA(),
-(1/Table1[[#This Row],[T]])*LN((Table1[[#This Row],[S0]]-Table1[[#This Row],[C]]+Table1[[#This Row],[P]])/Table1[[#This Row],[K]])
)</f>
        <v>#N/A</v>
      </c>
    </row>
    <row r="829" spans="1:18">
      <c r="A829">
        <v>1</v>
      </c>
      <c r="B829" t="s">
        <v>10</v>
      </c>
      <c r="C829" s="1">
        <v>46154</v>
      </c>
      <c r="D829" t="s">
        <v>15</v>
      </c>
      <c r="E829">
        <v>58</v>
      </c>
      <c r="F829" t="s">
        <v>12</v>
      </c>
      <c r="G829" t="s">
        <v>13</v>
      </c>
      <c r="H829" s="1">
        <v>46199</v>
      </c>
      <c r="I829">
        <v>0</v>
      </c>
      <c r="J829">
        <v>2.9750000000000001</v>
      </c>
      <c r="K829">
        <v>0</v>
      </c>
      <c r="L829">
        <v>400</v>
      </c>
      <c r="M829">
        <v>46.555097034416598</v>
      </c>
      <c r="N829">
        <v>1.929</v>
      </c>
      <c r="O829">
        <f>(Table1[[#This Row],[P]]&lt;&gt;0)*(Table1[[#This Row],[C]]&lt;&gt;0)</f>
        <v>0</v>
      </c>
      <c r="P829">
        <f>NETWORKDAYS(Table1[[#This Row],[ts_event]],Table1[[#This Row],[option_expiry_date]])</f>
        <v>34</v>
      </c>
      <c r="Q829">
        <f>Table1[[#This Row],[Column2]]/252</f>
        <v>0.13492063492063491</v>
      </c>
      <c r="R829" s="2" t="e">
        <f>IF(Table1[[#This Row],[CHECK2]]=0,NA(),
-(1/Table1[[#This Row],[T]])*LN((Table1[[#This Row],[S0]]-Table1[[#This Row],[C]]+Table1[[#This Row],[P]])/Table1[[#This Row],[K]])
)</f>
        <v>#N/A</v>
      </c>
    </row>
    <row r="830" spans="1:18">
      <c r="A830">
        <v>1</v>
      </c>
      <c r="B830" t="s">
        <v>10</v>
      </c>
      <c r="C830" s="1">
        <v>46154</v>
      </c>
      <c r="D830" t="s">
        <v>15</v>
      </c>
      <c r="E830">
        <v>65</v>
      </c>
      <c r="F830" t="s">
        <v>12</v>
      </c>
      <c r="G830" t="s">
        <v>13</v>
      </c>
      <c r="H830" s="1">
        <v>46199</v>
      </c>
      <c r="I830">
        <v>0</v>
      </c>
      <c r="J830">
        <v>2.0699999999999998</v>
      </c>
      <c r="K830">
        <v>0</v>
      </c>
      <c r="L830">
        <v>1325</v>
      </c>
      <c r="M830">
        <v>46.555097034416598</v>
      </c>
      <c r="N830">
        <v>1.929</v>
      </c>
      <c r="O830">
        <f>(Table1[[#This Row],[P]]&lt;&gt;0)*(Table1[[#This Row],[C]]&lt;&gt;0)</f>
        <v>0</v>
      </c>
      <c r="P830">
        <f>NETWORKDAYS(Table1[[#This Row],[ts_event]],Table1[[#This Row],[option_expiry_date]])</f>
        <v>34</v>
      </c>
      <c r="Q830">
        <f>Table1[[#This Row],[Column2]]/252</f>
        <v>0.13492063492063491</v>
      </c>
      <c r="R830" s="2" t="e">
        <f>IF(Table1[[#This Row],[CHECK2]]=0,NA(),
-(1/Table1[[#This Row],[T]])*LN((Table1[[#This Row],[S0]]-Table1[[#This Row],[C]]+Table1[[#This Row],[P]])/Table1[[#This Row],[K]])
)</f>
        <v>#N/A</v>
      </c>
    </row>
    <row r="831" spans="1:18">
      <c r="A831">
        <v>1</v>
      </c>
      <c r="B831" t="s">
        <v>10</v>
      </c>
      <c r="C831" s="1">
        <v>46154</v>
      </c>
      <c r="D831" t="s">
        <v>15</v>
      </c>
      <c r="E831">
        <v>68</v>
      </c>
      <c r="F831" t="s">
        <v>12</v>
      </c>
      <c r="G831" t="s">
        <v>13</v>
      </c>
      <c r="H831" s="1">
        <v>46199</v>
      </c>
      <c r="I831">
        <v>0</v>
      </c>
      <c r="J831">
        <v>1.9650000000000001</v>
      </c>
      <c r="K831">
        <v>0</v>
      </c>
      <c r="L831">
        <v>10</v>
      </c>
      <c r="M831">
        <v>46.555097034416598</v>
      </c>
      <c r="N831">
        <v>1.929</v>
      </c>
      <c r="O831">
        <f>(Table1[[#This Row],[P]]&lt;&gt;0)*(Table1[[#This Row],[C]]&lt;&gt;0)</f>
        <v>0</v>
      </c>
      <c r="P831">
        <f>NETWORKDAYS(Table1[[#This Row],[ts_event]],Table1[[#This Row],[option_expiry_date]])</f>
        <v>34</v>
      </c>
      <c r="Q831">
        <f>Table1[[#This Row],[Column2]]/252</f>
        <v>0.13492063492063491</v>
      </c>
      <c r="R831" s="2" t="e">
        <f>IF(Table1[[#This Row],[CHECK2]]=0,NA(),
-(1/Table1[[#This Row],[T]])*LN((Table1[[#This Row],[S0]]-Table1[[#This Row],[C]]+Table1[[#This Row],[P]])/Table1[[#This Row],[K]])
)</f>
        <v>#N/A</v>
      </c>
    </row>
    <row r="832" spans="1:18">
      <c r="A832">
        <v>1</v>
      </c>
      <c r="B832" t="s">
        <v>10</v>
      </c>
      <c r="C832" s="1">
        <v>46154</v>
      </c>
      <c r="D832" t="s">
        <v>15</v>
      </c>
      <c r="E832">
        <v>75</v>
      </c>
      <c r="F832" t="s">
        <v>12</v>
      </c>
      <c r="G832" t="s">
        <v>13</v>
      </c>
      <c r="H832" s="1">
        <v>46199</v>
      </c>
      <c r="I832">
        <v>0</v>
      </c>
      <c r="J832">
        <v>1.3149999999999999</v>
      </c>
      <c r="K832">
        <v>0</v>
      </c>
      <c r="L832">
        <v>1200</v>
      </c>
      <c r="M832">
        <v>46.555097034416598</v>
      </c>
      <c r="N832">
        <v>1.929</v>
      </c>
      <c r="O832">
        <f>(Table1[[#This Row],[P]]&lt;&gt;0)*(Table1[[#This Row],[C]]&lt;&gt;0)</f>
        <v>0</v>
      </c>
      <c r="P832">
        <f>NETWORKDAYS(Table1[[#This Row],[ts_event]],Table1[[#This Row],[option_expiry_date]])</f>
        <v>34</v>
      </c>
      <c r="Q832">
        <f>Table1[[#This Row],[Column2]]/252</f>
        <v>0.13492063492063491</v>
      </c>
      <c r="R832" s="2" t="e">
        <f>IF(Table1[[#This Row],[CHECK2]]=0,NA(),
-(1/Table1[[#This Row],[T]])*LN((Table1[[#This Row],[S0]]-Table1[[#This Row],[C]]+Table1[[#This Row],[P]])/Table1[[#This Row],[K]])
)</f>
        <v>#N/A</v>
      </c>
    </row>
    <row r="833" spans="1:18">
      <c r="A833">
        <v>1</v>
      </c>
      <c r="B833" t="s">
        <v>10</v>
      </c>
      <c r="C833" s="1">
        <v>46154</v>
      </c>
      <c r="D833" t="s">
        <v>15</v>
      </c>
      <c r="E833">
        <v>80</v>
      </c>
      <c r="F833" t="s">
        <v>12</v>
      </c>
      <c r="G833" t="s">
        <v>13</v>
      </c>
      <c r="H833" s="1">
        <v>46199</v>
      </c>
      <c r="I833">
        <v>0</v>
      </c>
      <c r="J833">
        <v>1.0549999999999999</v>
      </c>
      <c r="K833">
        <v>0</v>
      </c>
      <c r="L833">
        <v>75</v>
      </c>
      <c r="M833">
        <v>46.555097034416598</v>
      </c>
      <c r="N833">
        <v>1.929</v>
      </c>
      <c r="O833">
        <f>(Table1[[#This Row],[P]]&lt;&gt;0)*(Table1[[#This Row],[C]]&lt;&gt;0)</f>
        <v>0</v>
      </c>
      <c r="P833">
        <f>NETWORKDAYS(Table1[[#This Row],[ts_event]],Table1[[#This Row],[option_expiry_date]])</f>
        <v>34</v>
      </c>
      <c r="Q833">
        <f>Table1[[#This Row],[Column2]]/252</f>
        <v>0.13492063492063491</v>
      </c>
      <c r="R833" s="2" t="e">
        <f>IF(Table1[[#This Row],[CHECK2]]=0,NA(),
-(1/Table1[[#This Row],[T]])*LN((Table1[[#This Row],[S0]]-Table1[[#This Row],[C]]+Table1[[#This Row],[P]])/Table1[[#This Row],[K]])
)</f>
        <v>#N/A</v>
      </c>
    </row>
    <row r="834" spans="1:18">
      <c r="A834">
        <v>1</v>
      </c>
      <c r="B834" t="s">
        <v>10</v>
      </c>
      <c r="C834" s="1">
        <v>46154</v>
      </c>
      <c r="D834" t="s">
        <v>16</v>
      </c>
      <c r="E834">
        <v>35</v>
      </c>
      <c r="F834" t="s">
        <v>12</v>
      </c>
      <c r="G834" t="s">
        <v>13</v>
      </c>
      <c r="H834" s="1">
        <v>46230</v>
      </c>
      <c r="I834">
        <v>0.95</v>
      </c>
      <c r="J834">
        <v>0</v>
      </c>
      <c r="K834">
        <v>1200</v>
      </c>
      <c r="L834">
        <v>0</v>
      </c>
      <c r="M834">
        <v>46.430484097429897</v>
      </c>
      <c r="N834">
        <v>1.929</v>
      </c>
      <c r="O834">
        <f>(Table1[[#This Row],[P]]&lt;&gt;0)*(Table1[[#This Row],[C]]&lt;&gt;0)</f>
        <v>0</v>
      </c>
      <c r="P834">
        <f>NETWORKDAYS(Table1[[#This Row],[ts_event]],Table1[[#This Row],[option_expiry_date]])</f>
        <v>55</v>
      </c>
      <c r="Q834">
        <f>Table1[[#This Row],[Column2]]/252</f>
        <v>0.21825396825396826</v>
      </c>
      <c r="R834" s="2" t="e">
        <f>IF(Table1[[#This Row],[CHECK2]]=0,NA(),
-(1/Table1[[#This Row],[T]])*LN((Table1[[#This Row],[S0]]-Table1[[#This Row],[C]]+Table1[[#This Row],[P]])/Table1[[#This Row],[K]])
)</f>
        <v>#N/A</v>
      </c>
    </row>
    <row r="835" spans="1:18">
      <c r="A835">
        <v>1</v>
      </c>
      <c r="B835" t="s">
        <v>10</v>
      </c>
      <c r="C835" s="1">
        <v>46154</v>
      </c>
      <c r="D835" t="s">
        <v>16</v>
      </c>
      <c r="E835">
        <v>40</v>
      </c>
      <c r="F835" t="s">
        <v>12</v>
      </c>
      <c r="G835" t="s">
        <v>13</v>
      </c>
      <c r="H835" s="1">
        <v>46230</v>
      </c>
      <c r="I835">
        <v>2.6</v>
      </c>
      <c r="J835">
        <v>0</v>
      </c>
      <c r="K835">
        <v>1800</v>
      </c>
      <c r="L835">
        <v>0</v>
      </c>
      <c r="M835">
        <v>46.430484097429897</v>
      </c>
      <c r="N835">
        <v>1.929</v>
      </c>
      <c r="O835">
        <f>(Table1[[#This Row],[P]]&lt;&gt;0)*(Table1[[#This Row],[C]]&lt;&gt;0)</f>
        <v>0</v>
      </c>
      <c r="P835">
        <f>NETWORKDAYS(Table1[[#This Row],[ts_event]],Table1[[#This Row],[option_expiry_date]])</f>
        <v>55</v>
      </c>
      <c r="Q835">
        <f>Table1[[#This Row],[Column2]]/252</f>
        <v>0.21825396825396826</v>
      </c>
      <c r="R835" s="2" t="e">
        <f>IF(Table1[[#This Row],[CHECK2]]=0,NA(),
-(1/Table1[[#This Row],[T]])*LN((Table1[[#This Row],[S0]]-Table1[[#This Row],[C]]+Table1[[#This Row],[P]])/Table1[[#This Row],[K]])
)</f>
        <v>#N/A</v>
      </c>
    </row>
    <row r="836" spans="1:18">
      <c r="A836">
        <v>2</v>
      </c>
      <c r="B836" t="s">
        <v>10</v>
      </c>
      <c r="C836" s="1">
        <v>46154</v>
      </c>
      <c r="D836" t="s">
        <v>16</v>
      </c>
      <c r="E836">
        <v>50</v>
      </c>
      <c r="F836" t="s">
        <v>12</v>
      </c>
      <c r="G836" t="s">
        <v>13</v>
      </c>
      <c r="H836" s="1">
        <v>46230</v>
      </c>
      <c r="I836">
        <v>0</v>
      </c>
      <c r="J836">
        <v>5.7404268292682898</v>
      </c>
      <c r="K836">
        <v>0</v>
      </c>
      <c r="L836">
        <v>1640</v>
      </c>
      <c r="M836">
        <v>46.430484097429897</v>
      </c>
      <c r="N836">
        <v>1.929</v>
      </c>
      <c r="O836">
        <f>(Table1[[#This Row],[P]]&lt;&gt;0)*(Table1[[#This Row],[C]]&lt;&gt;0)</f>
        <v>0</v>
      </c>
      <c r="P836">
        <f>NETWORKDAYS(Table1[[#This Row],[ts_event]],Table1[[#This Row],[option_expiry_date]])</f>
        <v>55</v>
      </c>
      <c r="Q836">
        <f>Table1[[#This Row],[Column2]]/252</f>
        <v>0.21825396825396826</v>
      </c>
      <c r="R836" s="2" t="e">
        <f>IF(Table1[[#This Row],[CHECK2]]=0,NA(),
-(1/Table1[[#This Row],[T]])*LN((Table1[[#This Row],[S0]]-Table1[[#This Row],[C]]+Table1[[#This Row],[P]])/Table1[[#This Row],[K]])
)</f>
        <v>#N/A</v>
      </c>
    </row>
    <row r="837" spans="1:18">
      <c r="A837">
        <v>1</v>
      </c>
      <c r="B837" t="s">
        <v>10</v>
      </c>
      <c r="C837" s="1">
        <v>46154</v>
      </c>
      <c r="D837" t="s">
        <v>16</v>
      </c>
      <c r="E837">
        <v>60</v>
      </c>
      <c r="F837" t="s">
        <v>12</v>
      </c>
      <c r="G837" t="s">
        <v>13</v>
      </c>
      <c r="H837" s="1">
        <v>46230</v>
      </c>
      <c r="I837">
        <v>0</v>
      </c>
      <c r="J837">
        <v>3.7749999999999999</v>
      </c>
      <c r="K837">
        <v>0</v>
      </c>
      <c r="L837">
        <v>2655</v>
      </c>
      <c r="M837">
        <v>46.430484097429897</v>
      </c>
      <c r="N837">
        <v>1.929</v>
      </c>
      <c r="O837">
        <f>(Table1[[#This Row],[P]]&lt;&gt;0)*(Table1[[#This Row],[C]]&lt;&gt;0)</f>
        <v>0</v>
      </c>
      <c r="P837">
        <f>NETWORKDAYS(Table1[[#This Row],[ts_event]],Table1[[#This Row],[option_expiry_date]])</f>
        <v>55</v>
      </c>
      <c r="Q837">
        <f>Table1[[#This Row],[Column2]]/252</f>
        <v>0.21825396825396826</v>
      </c>
      <c r="R837" s="2" t="e">
        <f>IF(Table1[[#This Row],[CHECK2]]=0,NA(),
-(1/Table1[[#This Row],[T]])*LN((Table1[[#This Row],[S0]]-Table1[[#This Row],[C]]+Table1[[#This Row],[P]])/Table1[[#This Row],[K]])
)</f>
        <v>#N/A</v>
      </c>
    </row>
    <row r="838" spans="1:18">
      <c r="A838">
        <v>1</v>
      </c>
      <c r="B838" t="s">
        <v>10</v>
      </c>
      <c r="C838" s="1">
        <v>46154</v>
      </c>
      <c r="D838" t="s">
        <v>16</v>
      </c>
      <c r="E838">
        <v>90</v>
      </c>
      <c r="F838" t="s">
        <v>12</v>
      </c>
      <c r="G838" t="s">
        <v>13</v>
      </c>
      <c r="H838" s="1">
        <v>46230</v>
      </c>
      <c r="I838">
        <v>0</v>
      </c>
      <c r="J838">
        <v>1.5</v>
      </c>
      <c r="K838">
        <v>0</v>
      </c>
      <c r="L838">
        <v>1000</v>
      </c>
      <c r="M838">
        <v>46.430484097429897</v>
      </c>
      <c r="N838">
        <v>1.929</v>
      </c>
      <c r="O838">
        <f>(Table1[[#This Row],[P]]&lt;&gt;0)*(Table1[[#This Row],[C]]&lt;&gt;0)</f>
        <v>0</v>
      </c>
      <c r="P838">
        <f>NETWORKDAYS(Table1[[#This Row],[ts_event]],Table1[[#This Row],[option_expiry_date]])</f>
        <v>55</v>
      </c>
      <c r="Q838">
        <f>Table1[[#This Row],[Column2]]/252</f>
        <v>0.21825396825396826</v>
      </c>
      <c r="R838" s="2" t="e">
        <f>IF(Table1[[#This Row],[CHECK2]]=0,NA(),
-(1/Table1[[#This Row],[T]])*LN((Table1[[#This Row],[S0]]-Table1[[#This Row],[C]]+Table1[[#This Row],[P]])/Table1[[#This Row],[K]])
)</f>
        <v>#N/A</v>
      </c>
    </row>
    <row r="839" spans="1:18">
      <c r="A839">
        <v>1</v>
      </c>
      <c r="B839" t="s">
        <v>10</v>
      </c>
      <c r="C839" s="1">
        <v>46154</v>
      </c>
      <c r="D839" t="s">
        <v>17</v>
      </c>
      <c r="E839">
        <v>27</v>
      </c>
      <c r="F839" t="s">
        <v>12</v>
      </c>
      <c r="G839" t="s">
        <v>13</v>
      </c>
      <c r="H839" s="1">
        <v>46260</v>
      </c>
      <c r="I839">
        <v>0.19</v>
      </c>
      <c r="J839">
        <v>0</v>
      </c>
      <c r="K839">
        <v>200</v>
      </c>
      <c r="L839">
        <v>0</v>
      </c>
      <c r="M839">
        <v>46.305067972962703</v>
      </c>
      <c r="N839">
        <v>1.929</v>
      </c>
      <c r="O839">
        <f>(Table1[[#This Row],[P]]&lt;&gt;0)*(Table1[[#This Row],[C]]&lt;&gt;0)</f>
        <v>0</v>
      </c>
      <c r="P839">
        <f>NETWORKDAYS(Table1[[#This Row],[ts_event]],Table1[[#This Row],[option_expiry_date]])</f>
        <v>77</v>
      </c>
      <c r="Q839">
        <f>Table1[[#This Row],[Column2]]/252</f>
        <v>0.30555555555555558</v>
      </c>
      <c r="R839" s="2" t="e">
        <f>IF(Table1[[#This Row],[CHECK2]]=0,NA(),
-(1/Table1[[#This Row],[T]])*LN((Table1[[#This Row],[S0]]-Table1[[#This Row],[C]]+Table1[[#This Row],[P]])/Table1[[#This Row],[K]])
)</f>
        <v>#N/A</v>
      </c>
    </row>
    <row r="840" spans="1:18">
      <c r="A840">
        <v>2</v>
      </c>
      <c r="B840" t="s">
        <v>10</v>
      </c>
      <c r="C840" s="1">
        <v>46154</v>
      </c>
      <c r="D840" t="s">
        <v>17</v>
      </c>
      <c r="E840">
        <v>33</v>
      </c>
      <c r="F840" t="s">
        <v>12</v>
      </c>
      <c r="G840" t="s">
        <v>13</v>
      </c>
      <c r="H840" s="1">
        <v>46260</v>
      </c>
      <c r="I840">
        <v>0.80180555555555499</v>
      </c>
      <c r="J840">
        <v>0</v>
      </c>
      <c r="K840">
        <v>720</v>
      </c>
      <c r="L840">
        <v>0</v>
      </c>
      <c r="M840">
        <v>46.305067972962703</v>
      </c>
      <c r="N840">
        <v>1.929</v>
      </c>
      <c r="O840">
        <f>(Table1[[#This Row],[P]]&lt;&gt;0)*(Table1[[#This Row],[C]]&lt;&gt;0)</f>
        <v>0</v>
      </c>
      <c r="P840">
        <f>NETWORKDAYS(Table1[[#This Row],[ts_event]],Table1[[#This Row],[option_expiry_date]])</f>
        <v>77</v>
      </c>
      <c r="Q840">
        <f>Table1[[#This Row],[Column2]]/252</f>
        <v>0.30555555555555558</v>
      </c>
      <c r="R840" s="2" t="e">
        <f>IF(Table1[[#This Row],[CHECK2]]=0,NA(),
-(1/Table1[[#This Row],[T]])*LN((Table1[[#This Row],[S0]]-Table1[[#This Row],[C]]+Table1[[#This Row],[P]])/Table1[[#This Row],[K]])
)</f>
        <v>#N/A</v>
      </c>
    </row>
    <row r="841" spans="1:18">
      <c r="A841">
        <v>1</v>
      </c>
      <c r="B841" t="s">
        <v>10</v>
      </c>
      <c r="C841" s="1">
        <v>46154</v>
      </c>
      <c r="D841" t="s">
        <v>17</v>
      </c>
      <c r="E841">
        <v>60</v>
      </c>
      <c r="F841" t="s">
        <v>12</v>
      </c>
      <c r="G841" t="s">
        <v>13</v>
      </c>
      <c r="H841" s="1">
        <v>46260</v>
      </c>
      <c r="I841">
        <v>0</v>
      </c>
      <c r="J841">
        <v>4.9749999999999996</v>
      </c>
      <c r="K841">
        <v>0</v>
      </c>
      <c r="L841">
        <v>1250</v>
      </c>
      <c r="M841">
        <v>46.305067972962703</v>
      </c>
      <c r="N841">
        <v>1.929</v>
      </c>
      <c r="O841">
        <f>(Table1[[#This Row],[P]]&lt;&gt;0)*(Table1[[#This Row],[C]]&lt;&gt;0)</f>
        <v>0</v>
      </c>
      <c r="P841">
        <f>NETWORKDAYS(Table1[[#This Row],[ts_event]],Table1[[#This Row],[option_expiry_date]])</f>
        <v>77</v>
      </c>
      <c r="Q841">
        <f>Table1[[#This Row],[Column2]]/252</f>
        <v>0.30555555555555558</v>
      </c>
      <c r="R841" s="2" t="e">
        <f>IF(Table1[[#This Row],[CHECK2]]=0,NA(),
-(1/Table1[[#This Row],[T]])*LN((Table1[[#This Row],[S0]]-Table1[[#This Row],[C]]+Table1[[#This Row],[P]])/Table1[[#This Row],[K]])
)</f>
        <v>#N/A</v>
      </c>
    </row>
    <row r="842" spans="1:18">
      <c r="A842">
        <v>1</v>
      </c>
      <c r="B842" t="s">
        <v>10</v>
      </c>
      <c r="C842" s="1">
        <v>46154</v>
      </c>
      <c r="D842" t="s">
        <v>17</v>
      </c>
      <c r="E842">
        <v>70</v>
      </c>
      <c r="F842" t="s">
        <v>12</v>
      </c>
      <c r="G842" t="s">
        <v>13</v>
      </c>
      <c r="H842" s="1">
        <v>46260</v>
      </c>
      <c r="I842">
        <v>0</v>
      </c>
      <c r="J842">
        <v>3.5249999999999999</v>
      </c>
      <c r="K842">
        <v>0</v>
      </c>
      <c r="L842">
        <v>400</v>
      </c>
      <c r="M842">
        <v>46.305067972962703</v>
      </c>
      <c r="N842">
        <v>1.929</v>
      </c>
      <c r="O842">
        <f>(Table1[[#This Row],[P]]&lt;&gt;0)*(Table1[[#This Row],[C]]&lt;&gt;0)</f>
        <v>0</v>
      </c>
      <c r="P842">
        <f>NETWORKDAYS(Table1[[#This Row],[ts_event]],Table1[[#This Row],[option_expiry_date]])</f>
        <v>77</v>
      </c>
      <c r="Q842">
        <f>Table1[[#This Row],[Column2]]/252</f>
        <v>0.30555555555555558</v>
      </c>
      <c r="R842" s="2" t="e">
        <f>IF(Table1[[#This Row],[CHECK2]]=0,NA(),
-(1/Table1[[#This Row],[T]])*LN((Table1[[#This Row],[S0]]-Table1[[#This Row],[C]]+Table1[[#This Row],[P]])/Table1[[#This Row],[K]])
)</f>
        <v>#N/A</v>
      </c>
    </row>
    <row r="843" spans="1:18">
      <c r="A843">
        <v>1</v>
      </c>
      <c r="B843" t="s">
        <v>10</v>
      </c>
      <c r="C843" s="1">
        <v>46154</v>
      </c>
      <c r="D843" t="s">
        <v>18</v>
      </c>
      <c r="E843">
        <v>33</v>
      </c>
      <c r="F843" t="s">
        <v>12</v>
      </c>
      <c r="G843" t="s">
        <v>13</v>
      </c>
      <c r="H843" s="1">
        <v>46290</v>
      </c>
      <c r="I843">
        <v>1.1000000000000001</v>
      </c>
      <c r="J843">
        <v>0</v>
      </c>
      <c r="K843">
        <v>200</v>
      </c>
      <c r="L843">
        <v>0</v>
      </c>
      <c r="M843">
        <v>46.1430099067599</v>
      </c>
      <c r="N843">
        <v>1.929</v>
      </c>
      <c r="O843">
        <f>(Table1[[#This Row],[P]]&lt;&gt;0)*(Table1[[#This Row],[C]]&lt;&gt;0)</f>
        <v>0</v>
      </c>
      <c r="P843">
        <f>NETWORKDAYS(Table1[[#This Row],[ts_event]],Table1[[#This Row],[option_expiry_date]])</f>
        <v>99</v>
      </c>
      <c r="Q843">
        <f>Table1[[#This Row],[Column2]]/252</f>
        <v>0.39285714285714285</v>
      </c>
      <c r="R843" s="2" t="e">
        <f>IF(Table1[[#This Row],[CHECK2]]=0,NA(),
-(1/Table1[[#This Row],[T]])*LN((Table1[[#This Row],[S0]]-Table1[[#This Row],[C]]+Table1[[#This Row],[P]])/Table1[[#This Row],[K]])
)</f>
        <v>#N/A</v>
      </c>
    </row>
    <row r="844" spans="1:18">
      <c r="A844">
        <v>1</v>
      </c>
      <c r="B844" t="s">
        <v>10</v>
      </c>
      <c r="C844" s="1">
        <v>46154</v>
      </c>
      <c r="D844" t="s">
        <v>22</v>
      </c>
      <c r="E844">
        <v>50</v>
      </c>
      <c r="F844" t="s">
        <v>12</v>
      </c>
      <c r="G844" t="s">
        <v>13</v>
      </c>
      <c r="H844" s="1">
        <v>46442</v>
      </c>
      <c r="I844">
        <v>0</v>
      </c>
      <c r="J844">
        <v>9.65</v>
      </c>
      <c r="K844">
        <v>0</v>
      </c>
      <c r="L844">
        <v>1000</v>
      </c>
      <c r="M844">
        <v>43.4</v>
      </c>
      <c r="N844">
        <v>1.929</v>
      </c>
      <c r="O844">
        <f>(Table1[[#This Row],[P]]&lt;&gt;0)*(Table1[[#This Row],[C]]&lt;&gt;0)</f>
        <v>0</v>
      </c>
      <c r="P844">
        <f>NETWORKDAYS(Table1[[#This Row],[ts_event]],Table1[[#This Row],[option_expiry_date]])</f>
        <v>207</v>
      </c>
      <c r="Q844">
        <f>Table1[[#This Row],[Column2]]/252</f>
        <v>0.8214285714285714</v>
      </c>
      <c r="R844" s="2" t="e">
        <f>IF(Table1[[#This Row],[CHECK2]]=0,NA(),
-(1/Table1[[#This Row],[T]])*LN((Table1[[#This Row],[S0]]-Table1[[#This Row],[C]]+Table1[[#This Row],[P]])/Table1[[#This Row],[K]])
)</f>
        <v>#N/A</v>
      </c>
    </row>
    <row r="845" spans="1:18">
      <c r="A845">
        <v>1</v>
      </c>
      <c r="B845" t="s">
        <v>10</v>
      </c>
      <c r="C845" s="1">
        <v>46155</v>
      </c>
      <c r="D845" t="s">
        <v>14</v>
      </c>
      <c r="E845">
        <v>32</v>
      </c>
      <c r="F845" t="s">
        <v>12</v>
      </c>
      <c r="G845" t="s">
        <v>13</v>
      </c>
      <c r="H845" s="1">
        <v>46169</v>
      </c>
      <c r="I845">
        <v>5.5E-2</v>
      </c>
      <c r="J845">
        <v>0</v>
      </c>
      <c r="K845">
        <v>200</v>
      </c>
      <c r="L845">
        <v>0</v>
      </c>
      <c r="M845">
        <v>46.630850549915898</v>
      </c>
      <c r="N845">
        <v>1.9279999999999999</v>
      </c>
      <c r="O845">
        <f>(Table1[[#This Row],[P]]&lt;&gt;0)*(Table1[[#This Row],[C]]&lt;&gt;0)</f>
        <v>0</v>
      </c>
      <c r="P845">
        <f>NETWORKDAYS(Table1[[#This Row],[ts_event]],Table1[[#This Row],[option_expiry_date]])</f>
        <v>11</v>
      </c>
      <c r="Q845">
        <f>Table1[[#This Row],[Column2]]/252</f>
        <v>4.3650793650793648E-2</v>
      </c>
      <c r="R845" s="2" t="e">
        <f>IF(Table1[[#This Row],[CHECK2]]=0,NA(),
-(1/Table1[[#This Row],[T]])*LN((Table1[[#This Row],[S0]]-Table1[[#This Row],[C]]+Table1[[#This Row],[P]])/Table1[[#This Row],[K]])
)</f>
        <v>#N/A</v>
      </c>
    </row>
    <row r="846" spans="1:18">
      <c r="A846">
        <v>2</v>
      </c>
      <c r="B846" t="s">
        <v>10</v>
      </c>
      <c r="C846" s="1">
        <v>46155</v>
      </c>
      <c r="D846" t="s">
        <v>14</v>
      </c>
      <c r="E846">
        <v>35</v>
      </c>
      <c r="F846" t="s">
        <v>12</v>
      </c>
      <c r="G846" t="s">
        <v>13</v>
      </c>
      <c r="H846" s="1">
        <v>46169</v>
      </c>
      <c r="I846">
        <v>0.12585421412300599</v>
      </c>
      <c r="J846">
        <v>0</v>
      </c>
      <c r="K846">
        <v>4390</v>
      </c>
      <c r="L846">
        <v>0</v>
      </c>
      <c r="M846">
        <v>46.630850549915898</v>
      </c>
      <c r="N846">
        <v>1.9279999999999999</v>
      </c>
      <c r="O846">
        <f>(Table1[[#This Row],[P]]&lt;&gt;0)*(Table1[[#This Row],[C]]&lt;&gt;0)</f>
        <v>0</v>
      </c>
      <c r="P846">
        <f>NETWORKDAYS(Table1[[#This Row],[ts_event]],Table1[[#This Row],[option_expiry_date]])</f>
        <v>11</v>
      </c>
      <c r="Q846">
        <f>Table1[[#This Row],[Column2]]/252</f>
        <v>4.3650793650793648E-2</v>
      </c>
      <c r="R846" s="2" t="e">
        <f>IF(Table1[[#This Row],[CHECK2]]=0,NA(),
-(1/Table1[[#This Row],[T]])*LN((Table1[[#This Row],[S0]]-Table1[[#This Row],[C]]+Table1[[#This Row],[P]])/Table1[[#This Row],[K]])
)</f>
        <v>#N/A</v>
      </c>
    </row>
    <row r="847" spans="1:18">
      <c r="A847">
        <v>1</v>
      </c>
      <c r="B847" t="s">
        <v>10</v>
      </c>
      <c r="C847" s="1">
        <v>46155</v>
      </c>
      <c r="D847" t="s">
        <v>14</v>
      </c>
      <c r="E847">
        <v>37</v>
      </c>
      <c r="F847" t="s">
        <v>12</v>
      </c>
      <c r="G847" t="s">
        <v>13</v>
      </c>
      <c r="H847" s="1">
        <v>46169</v>
      </c>
      <c r="I847">
        <v>0.26</v>
      </c>
      <c r="J847">
        <v>0</v>
      </c>
      <c r="K847">
        <v>500</v>
      </c>
      <c r="L847">
        <v>0</v>
      </c>
      <c r="M847">
        <v>46.630850549915898</v>
      </c>
      <c r="N847">
        <v>1.9279999999999999</v>
      </c>
      <c r="O847">
        <f>(Table1[[#This Row],[P]]&lt;&gt;0)*(Table1[[#This Row],[C]]&lt;&gt;0)</f>
        <v>0</v>
      </c>
      <c r="P847">
        <f>NETWORKDAYS(Table1[[#This Row],[ts_event]],Table1[[#This Row],[option_expiry_date]])</f>
        <v>11</v>
      </c>
      <c r="Q847">
        <f>Table1[[#This Row],[Column2]]/252</f>
        <v>4.3650793650793648E-2</v>
      </c>
      <c r="R847" s="2" t="e">
        <f>IF(Table1[[#This Row],[CHECK2]]=0,NA(),
-(1/Table1[[#This Row],[T]])*LN((Table1[[#This Row],[S0]]-Table1[[#This Row],[C]]+Table1[[#This Row],[P]])/Table1[[#This Row],[K]])
)</f>
        <v>#N/A</v>
      </c>
    </row>
    <row r="848" spans="1:18">
      <c r="A848">
        <v>1</v>
      </c>
      <c r="B848" t="s">
        <v>10</v>
      </c>
      <c r="C848" s="1">
        <v>46155</v>
      </c>
      <c r="D848" t="s">
        <v>14</v>
      </c>
      <c r="E848">
        <v>38</v>
      </c>
      <c r="F848" t="s">
        <v>12</v>
      </c>
      <c r="G848" t="s">
        <v>13</v>
      </c>
      <c r="H848" s="1">
        <v>46169</v>
      </c>
      <c r="I848">
        <v>0.35</v>
      </c>
      <c r="J848">
        <v>0</v>
      </c>
      <c r="K848">
        <v>400</v>
      </c>
      <c r="L848">
        <v>0</v>
      </c>
      <c r="M848">
        <v>46.630850549915898</v>
      </c>
      <c r="N848">
        <v>1.9279999999999999</v>
      </c>
      <c r="O848">
        <f>(Table1[[#This Row],[P]]&lt;&gt;0)*(Table1[[#This Row],[C]]&lt;&gt;0)</f>
        <v>0</v>
      </c>
      <c r="P848">
        <f>NETWORKDAYS(Table1[[#This Row],[ts_event]],Table1[[#This Row],[option_expiry_date]])</f>
        <v>11</v>
      </c>
      <c r="Q848">
        <f>Table1[[#This Row],[Column2]]/252</f>
        <v>4.3650793650793648E-2</v>
      </c>
      <c r="R848" s="2" t="e">
        <f>IF(Table1[[#This Row],[CHECK2]]=0,NA(),
-(1/Table1[[#This Row],[T]])*LN((Table1[[#This Row],[S0]]-Table1[[#This Row],[C]]+Table1[[#This Row],[P]])/Table1[[#This Row],[K]])
)</f>
        <v>#N/A</v>
      </c>
    </row>
    <row r="849" spans="1:18">
      <c r="A849">
        <v>2</v>
      </c>
      <c r="B849" t="s">
        <v>10</v>
      </c>
      <c r="C849" s="1">
        <v>46155</v>
      </c>
      <c r="D849" t="s">
        <v>14</v>
      </c>
      <c r="E849">
        <v>40</v>
      </c>
      <c r="F849" t="s">
        <v>12</v>
      </c>
      <c r="G849" t="s">
        <v>13</v>
      </c>
      <c r="H849" s="1">
        <v>46169</v>
      </c>
      <c r="I849">
        <v>0.52547169811320704</v>
      </c>
      <c r="J849">
        <v>0</v>
      </c>
      <c r="K849">
        <v>2650</v>
      </c>
      <c r="L849">
        <v>0</v>
      </c>
      <c r="M849">
        <v>46.630850549915898</v>
      </c>
      <c r="N849">
        <v>1.9279999999999999</v>
      </c>
      <c r="O849">
        <f>(Table1[[#This Row],[P]]&lt;&gt;0)*(Table1[[#This Row],[C]]&lt;&gt;0)</f>
        <v>0</v>
      </c>
      <c r="P849">
        <f>NETWORKDAYS(Table1[[#This Row],[ts_event]],Table1[[#This Row],[option_expiry_date]])</f>
        <v>11</v>
      </c>
      <c r="Q849">
        <f>Table1[[#This Row],[Column2]]/252</f>
        <v>4.3650793650793648E-2</v>
      </c>
      <c r="R849" s="2" t="e">
        <f>IF(Table1[[#This Row],[CHECK2]]=0,NA(),
-(1/Table1[[#This Row],[T]])*LN((Table1[[#This Row],[S0]]-Table1[[#This Row],[C]]+Table1[[#This Row],[P]])/Table1[[#This Row],[K]])
)</f>
        <v>#N/A</v>
      </c>
    </row>
    <row r="850" spans="1:18">
      <c r="A850">
        <v>2</v>
      </c>
      <c r="B850" t="s">
        <v>10</v>
      </c>
      <c r="C850" s="1">
        <v>46155</v>
      </c>
      <c r="D850" t="s">
        <v>14</v>
      </c>
      <c r="E850">
        <v>41</v>
      </c>
      <c r="F850" t="s">
        <v>12</v>
      </c>
      <c r="G850" t="s">
        <v>13</v>
      </c>
      <c r="H850" s="1">
        <v>46169</v>
      </c>
      <c r="I850">
        <v>0.85693548387096696</v>
      </c>
      <c r="J850">
        <v>0</v>
      </c>
      <c r="K850">
        <v>620</v>
      </c>
      <c r="L850">
        <v>0</v>
      </c>
      <c r="M850">
        <v>46.630850549915898</v>
      </c>
      <c r="N850">
        <v>1.9279999999999999</v>
      </c>
      <c r="O850">
        <f>(Table1[[#This Row],[P]]&lt;&gt;0)*(Table1[[#This Row],[C]]&lt;&gt;0)</f>
        <v>0</v>
      </c>
      <c r="P850">
        <f>NETWORKDAYS(Table1[[#This Row],[ts_event]],Table1[[#This Row],[option_expiry_date]])</f>
        <v>11</v>
      </c>
      <c r="Q850">
        <f>Table1[[#This Row],[Column2]]/252</f>
        <v>4.3650793650793648E-2</v>
      </c>
      <c r="R850" s="2" t="e">
        <f>IF(Table1[[#This Row],[CHECK2]]=0,NA(),
-(1/Table1[[#This Row],[T]])*LN((Table1[[#This Row],[S0]]-Table1[[#This Row],[C]]+Table1[[#This Row],[P]])/Table1[[#This Row],[K]])
)</f>
        <v>#N/A</v>
      </c>
    </row>
    <row r="851" spans="1:18">
      <c r="A851">
        <v>1</v>
      </c>
      <c r="B851" t="s">
        <v>10</v>
      </c>
      <c r="C851" s="1">
        <v>46155</v>
      </c>
      <c r="D851" t="s">
        <v>14</v>
      </c>
      <c r="E851">
        <v>42</v>
      </c>
      <c r="F851" t="s">
        <v>12</v>
      </c>
      <c r="G851" t="s">
        <v>13</v>
      </c>
      <c r="H851" s="1">
        <v>46169</v>
      </c>
      <c r="I851">
        <v>1</v>
      </c>
      <c r="J851">
        <v>0</v>
      </c>
      <c r="K851">
        <v>2760</v>
      </c>
      <c r="L851">
        <v>0</v>
      </c>
      <c r="M851">
        <v>46.630850549915898</v>
      </c>
      <c r="N851">
        <v>1.9279999999999999</v>
      </c>
      <c r="O851">
        <f>(Table1[[#This Row],[P]]&lt;&gt;0)*(Table1[[#This Row],[C]]&lt;&gt;0)</f>
        <v>0</v>
      </c>
      <c r="P851">
        <f>NETWORKDAYS(Table1[[#This Row],[ts_event]],Table1[[#This Row],[option_expiry_date]])</f>
        <v>11</v>
      </c>
      <c r="Q851">
        <f>Table1[[#This Row],[Column2]]/252</f>
        <v>4.3650793650793648E-2</v>
      </c>
      <c r="R851" s="2" t="e">
        <f>IF(Table1[[#This Row],[CHECK2]]=0,NA(),
-(1/Table1[[#This Row],[T]])*LN((Table1[[#This Row],[S0]]-Table1[[#This Row],[C]]+Table1[[#This Row],[P]])/Table1[[#This Row],[K]])
)</f>
        <v>#N/A</v>
      </c>
    </row>
    <row r="852" spans="1:18">
      <c r="A852">
        <v>1</v>
      </c>
      <c r="B852" t="s">
        <v>10</v>
      </c>
      <c r="C852" s="1">
        <v>46155</v>
      </c>
      <c r="D852" t="s">
        <v>14</v>
      </c>
      <c r="E852">
        <v>43</v>
      </c>
      <c r="F852" t="s">
        <v>12</v>
      </c>
      <c r="G852" t="s">
        <v>13</v>
      </c>
      <c r="H852" s="1">
        <v>46169</v>
      </c>
      <c r="I852">
        <v>1.3</v>
      </c>
      <c r="J852">
        <v>0</v>
      </c>
      <c r="K852">
        <v>250</v>
      </c>
      <c r="L852">
        <v>0</v>
      </c>
      <c r="M852">
        <v>46.630850549915898</v>
      </c>
      <c r="N852">
        <v>1.9279999999999999</v>
      </c>
      <c r="O852">
        <f>(Table1[[#This Row],[P]]&lt;&gt;0)*(Table1[[#This Row],[C]]&lt;&gt;0)</f>
        <v>0</v>
      </c>
      <c r="P852">
        <f>NETWORKDAYS(Table1[[#This Row],[ts_event]],Table1[[#This Row],[option_expiry_date]])</f>
        <v>11</v>
      </c>
      <c r="Q852">
        <f>Table1[[#This Row],[Column2]]/252</f>
        <v>4.3650793650793648E-2</v>
      </c>
      <c r="R852" s="2" t="e">
        <f>IF(Table1[[#This Row],[CHECK2]]=0,NA(),
-(1/Table1[[#This Row],[T]])*LN((Table1[[#This Row],[S0]]-Table1[[#This Row],[C]]+Table1[[#This Row],[P]])/Table1[[#This Row],[K]])
)</f>
        <v>#N/A</v>
      </c>
    </row>
    <row r="853" spans="1:18">
      <c r="A853">
        <v>1</v>
      </c>
      <c r="B853" t="s">
        <v>10</v>
      </c>
      <c r="C853" s="1">
        <v>46155</v>
      </c>
      <c r="D853" t="s">
        <v>14</v>
      </c>
      <c r="E853">
        <v>44</v>
      </c>
      <c r="F853" t="s">
        <v>12</v>
      </c>
      <c r="G853" t="s">
        <v>13</v>
      </c>
      <c r="H853" s="1">
        <v>46169</v>
      </c>
      <c r="I853">
        <v>1.71</v>
      </c>
      <c r="J853">
        <v>0</v>
      </c>
      <c r="K853">
        <v>25</v>
      </c>
      <c r="L853">
        <v>0</v>
      </c>
      <c r="M853">
        <v>46.630850549915898</v>
      </c>
      <c r="N853">
        <v>1.9279999999999999</v>
      </c>
      <c r="O853">
        <f>(Table1[[#This Row],[P]]&lt;&gt;0)*(Table1[[#This Row],[C]]&lt;&gt;0)</f>
        <v>0</v>
      </c>
      <c r="P853">
        <f>NETWORKDAYS(Table1[[#This Row],[ts_event]],Table1[[#This Row],[option_expiry_date]])</f>
        <v>11</v>
      </c>
      <c r="Q853">
        <f>Table1[[#This Row],[Column2]]/252</f>
        <v>4.3650793650793648E-2</v>
      </c>
      <c r="R853" s="2" t="e">
        <f>IF(Table1[[#This Row],[CHECK2]]=0,NA(),
-(1/Table1[[#This Row],[T]])*LN((Table1[[#This Row],[S0]]-Table1[[#This Row],[C]]+Table1[[#This Row],[P]])/Table1[[#This Row],[K]])
)</f>
        <v>#N/A</v>
      </c>
    </row>
    <row r="854" spans="1:18">
      <c r="A854">
        <v>1</v>
      </c>
      <c r="B854" t="s">
        <v>10</v>
      </c>
      <c r="C854" s="1">
        <v>46155</v>
      </c>
      <c r="D854" t="s">
        <v>14</v>
      </c>
      <c r="E854">
        <v>45</v>
      </c>
      <c r="F854" t="s">
        <v>12</v>
      </c>
      <c r="G854" t="s">
        <v>13</v>
      </c>
      <c r="H854" s="1">
        <v>46169</v>
      </c>
      <c r="I854">
        <v>0</v>
      </c>
      <c r="J854">
        <v>3.65</v>
      </c>
      <c r="K854">
        <v>0</v>
      </c>
      <c r="L854">
        <v>450</v>
      </c>
      <c r="M854">
        <v>46.630850549915898</v>
      </c>
      <c r="N854">
        <v>1.9279999999999999</v>
      </c>
      <c r="O854">
        <f>(Table1[[#This Row],[P]]&lt;&gt;0)*(Table1[[#This Row],[C]]&lt;&gt;0)</f>
        <v>0</v>
      </c>
      <c r="P854">
        <f>NETWORKDAYS(Table1[[#This Row],[ts_event]],Table1[[#This Row],[option_expiry_date]])</f>
        <v>11</v>
      </c>
      <c r="Q854">
        <f>Table1[[#This Row],[Column2]]/252</f>
        <v>4.3650793650793648E-2</v>
      </c>
      <c r="R854" s="2" t="e">
        <f>IF(Table1[[#This Row],[CHECK2]]=0,NA(),
-(1/Table1[[#This Row],[T]])*LN((Table1[[#This Row],[S0]]-Table1[[#This Row],[C]]+Table1[[#This Row],[P]])/Table1[[#This Row],[K]])
)</f>
        <v>#N/A</v>
      </c>
    </row>
    <row r="855" spans="1:18">
      <c r="A855">
        <v>2</v>
      </c>
      <c r="B855" t="s">
        <v>10</v>
      </c>
      <c r="C855" s="1">
        <v>46155</v>
      </c>
      <c r="D855" t="s">
        <v>14</v>
      </c>
      <c r="E855">
        <v>46</v>
      </c>
      <c r="F855" t="s">
        <v>12</v>
      </c>
      <c r="G855" t="s">
        <v>13</v>
      </c>
      <c r="H855" s="1">
        <v>46169</v>
      </c>
      <c r="I855">
        <v>2.8184399999999998</v>
      </c>
      <c r="J855">
        <v>0</v>
      </c>
      <c r="K855">
        <v>625</v>
      </c>
      <c r="L855">
        <v>0</v>
      </c>
      <c r="M855">
        <v>46.630850549915898</v>
      </c>
      <c r="N855">
        <v>1.9279999999999999</v>
      </c>
      <c r="O855">
        <f>(Table1[[#This Row],[P]]&lt;&gt;0)*(Table1[[#This Row],[C]]&lt;&gt;0)</f>
        <v>0</v>
      </c>
      <c r="P855">
        <f>NETWORKDAYS(Table1[[#This Row],[ts_event]],Table1[[#This Row],[option_expiry_date]])</f>
        <v>11</v>
      </c>
      <c r="Q855">
        <f>Table1[[#This Row],[Column2]]/252</f>
        <v>4.3650793650793648E-2</v>
      </c>
      <c r="R855" s="2" t="e">
        <f>IF(Table1[[#This Row],[CHECK2]]=0,NA(),
-(1/Table1[[#This Row],[T]])*LN((Table1[[#This Row],[S0]]-Table1[[#This Row],[C]]+Table1[[#This Row],[P]])/Table1[[#This Row],[K]])
)</f>
        <v>#N/A</v>
      </c>
    </row>
    <row r="856" spans="1:18">
      <c r="A856">
        <v>1</v>
      </c>
      <c r="B856" t="s">
        <v>10</v>
      </c>
      <c r="C856" s="1">
        <v>46155</v>
      </c>
      <c r="D856" t="s">
        <v>14</v>
      </c>
      <c r="E856">
        <v>47</v>
      </c>
      <c r="F856" t="s">
        <v>12</v>
      </c>
      <c r="G856" t="s">
        <v>13</v>
      </c>
      <c r="H856" s="1">
        <v>46169</v>
      </c>
      <c r="I856">
        <v>3.19</v>
      </c>
      <c r="J856">
        <v>0</v>
      </c>
      <c r="K856">
        <v>700</v>
      </c>
      <c r="L856">
        <v>0</v>
      </c>
      <c r="M856">
        <v>46.630850549915898</v>
      </c>
      <c r="N856">
        <v>1.9279999999999999</v>
      </c>
      <c r="O856">
        <f>(Table1[[#This Row],[P]]&lt;&gt;0)*(Table1[[#This Row],[C]]&lt;&gt;0)</f>
        <v>0</v>
      </c>
      <c r="P856">
        <f>NETWORKDAYS(Table1[[#This Row],[ts_event]],Table1[[#This Row],[option_expiry_date]])</f>
        <v>11</v>
      </c>
      <c r="Q856">
        <f>Table1[[#This Row],[Column2]]/252</f>
        <v>4.3650793650793648E-2</v>
      </c>
      <c r="R856" s="2" t="e">
        <f>IF(Table1[[#This Row],[CHECK2]]=0,NA(),
-(1/Table1[[#This Row],[T]])*LN((Table1[[#This Row],[S0]]-Table1[[#This Row],[C]]+Table1[[#This Row],[P]])/Table1[[#This Row],[K]])
)</f>
        <v>#N/A</v>
      </c>
    </row>
    <row r="857" spans="1:18">
      <c r="A857">
        <v>4</v>
      </c>
      <c r="B857" t="s">
        <v>10</v>
      </c>
      <c r="C857" s="1">
        <v>46155</v>
      </c>
      <c r="D857" t="s">
        <v>14</v>
      </c>
      <c r="E857">
        <v>48</v>
      </c>
      <c r="F857" t="s">
        <v>12</v>
      </c>
      <c r="G857" t="s">
        <v>13</v>
      </c>
      <c r="H857" s="1">
        <v>46169</v>
      </c>
      <c r="I857">
        <v>3.8369318181818102</v>
      </c>
      <c r="J857">
        <v>2.7433333333333301</v>
      </c>
      <c r="K857">
        <v>220</v>
      </c>
      <c r="L857">
        <v>255</v>
      </c>
      <c r="M857">
        <v>46.630850549915898</v>
      </c>
      <c r="N857">
        <v>1.9279999999999999</v>
      </c>
      <c r="O857">
        <f>(Table1[[#This Row],[P]]&lt;&gt;0)*(Table1[[#This Row],[C]]&lt;&gt;0)</f>
        <v>1</v>
      </c>
      <c r="P857">
        <f>NETWORKDAYS(Table1[[#This Row],[ts_event]],Table1[[#This Row],[option_expiry_date]])</f>
        <v>11</v>
      </c>
      <c r="Q857">
        <f>Table1[[#This Row],[Column2]]/252</f>
        <v>4.3650793650793648E-2</v>
      </c>
      <c r="R857" s="2">
        <f>IF(Table1[[#This Row],[CHECK2]]=0,NA(),
-(1/Table1[[#This Row],[T]])*LN((Table1[[#This Row],[S0]]-Table1[[#This Row],[C]]+Table1[[#This Row],[P]])/Table1[[#This Row],[K]])
)</f>
        <v>0.1318918962167481</v>
      </c>
    </row>
    <row r="858" spans="1:18">
      <c r="A858">
        <v>2</v>
      </c>
      <c r="B858" t="s">
        <v>10</v>
      </c>
      <c r="C858" s="1">
        <v>46155</v>
      </c>
      <c r="D858" t="s">
        <v>14</v>
      </c>
      <c r="E858">
        <v>50</v>
      </c>
      <c r="F858" t="s">
        <v>12</v>
      </c>
      <c r="G858" t="s">
        <v>13</v>
      </c>
      <c r="H858" s="1">
        <v>46169</v>
      </c>
      <c r="I858">
        <v>0</v>
      </c>
      <c r="J858">
        <v>2.0499999999999998</v>
      </c>
      <c r="K858">
        <v>0</v>
      </c>
      <c r="L858">
        <v>1400</v>
      </c>
      <c r="M858">
        <v>46.630850549915898</v>
      </c>
      <c r="N858">
        <v>1.9279999999999999</v>
      </c>
      <c r="O858">
        <f>(Table1[[#This Row],[P]]&lt;&gt;0)*(Table1[[#This Row],[C]]&lt;&gt;0)</f>
        <v>0</v>
      </c>
      <c r="P858">
        <f>NETWORKDAYS(Table1[[#This Row],[ts_event]],Table1[[#This Row],[option_expiry_date]])</f>
        <v>11</v>
      </c>
      <c r="Q858">
        <f>Table1[[#This Row],[Column2]]/252</f>
        <v>4.3650793650793648E-2</v>
      </c>
      <c r="R858" s="2" t="e">
        <f>IF(Table1[[#This Row],[CHECK2]]=0,NA(),
-(1/Table1[[#This Row],[T]])*LN((Table1[[#This Row],[S0]]-Table1[[#This Row],[C]]+Table1[[#This Row],[P]])/Table1[[#This Row],[K]])
)</f>
        <v>#N/A</v>
      </c>
    </row>
    <row r="859" spans="1:18">
      <c r="A859">
        <v>1</v>
      </c>
      <c r="B859" t="s">
        <v>10</v>
      </c>
      <c r="C859" s="1">
        <v>46155</v>
      </c>
      <c r="D859" t="s">
        <v>14</v>
      </c>
      <c r="E859">
        <v>53</v>
      </c>
      <c r="F859" t="s">
        <v>12</v>
      </c>
      <c r="G859" t="s">
        <v>13</v>
      </c>
      <c r="H859" s="1">
        <v>46169</v>
      </c>
      <c r="I859">
        <v>0</v>
      </c>
      <c r="J859">
        <v>1.38</v>
      </c>
      <c r="K859">
        <v>0</v>
      </c>
      <c r="L859">
        <v>100</v>
      </c>
      <c r="M859">
        <v>46.630850549915898</v>
      </c>
      <c r="N859">
        <v>1.9279999999999999</v>
      </c>
      <c r="O859">
        <f>(Table1[[#This Row],[P]]&lt;&gt;0)*(Table1[[#This Row],[C]]&lt;&gt;0)</f>
        <v>0</v>
      </c>
      <c r="P859">
        <f>NETWORKDAYS(Table1[[#This Row],[ts_event]],Table1[[#This Row],[option_expiry_date]])</f>
        <v>11</v>
      </c>
      <c r="Q859">
        <f>Table1[[#This Row],[Column2]]/252</f>
        <v>4.3650793650793648E-2</v>
      </c>
      <c r="R859" s="2" t="e">
        <f>IF(Table1[[#This Row],[CHECK2]]=0,NA(),
-(1/Table1[[#This Row],[T]])*LN((Table1[[#This Row],[S0]]-Table1[[#This Row],[C]]+Table1[[#This Row],[P]])/Table1[[#This Row],[K]])
)</f>
        <v>#N/A</v>
      </c>
    </row>
    <row r="860" spans="1:18">
      <c r="A860">
        <v>1</v>
      </c>
      <c r="B860" t="s">
        <v>10</v>
      </c>
      <c r="C860" s="1">
        <v>46155</v>
      </c>
      <c r="D860" t="s">
        <v>14</v>
      </c>
      <c r="E860">
        <v>54</v>
      </c>
      <c r="F860" t="s">
        <v>12</v>
      </c>
      <c r="G860" t="s">
        <v>13</v>
      </c>
      <c r="H860" s="1">
        <v>46169</v>
      </c>
      <c r="I860">
        <v>0</v>
      </c>
      <c r="J860">
        <v>1.1299999999999999</v>
      </c>
      <c r="K860">
        <v>0</v>
      </c>
      <c r="L860">
        <v>430</v>
      </c>
      <c r="M860">
        <v>46.630850549915898</v>
      </c>
      <c r="N860">
        <v>1.9279999999999999</v>
      </c>
      <c r="O860">
        <f>(Table1[[#This Row],[P]]&lt;&gt;0)*(Table1[[#This Row],[C]]&lt;&gt;0)</f>
        <v>0</v>
      </c>
      <c r="P860">
        <f>NETWORKDAYS(Table1[[#This Row],[ts_event]],Table1[[#This Row],[option_expiry_date]])</f>
        <v>11</v>
      </c>
      <c r="Q860">
        <f>Table1[[#This Row],[Column2]]/252</f>
        <v>4.3650793650793648E-2</v>
      </c>
      <c r="R860" s="2" t="e">
        <f>IF(Table1[[#This Row],[CHECK2]]=0,NA(),
-(1/Table1[[#This Row],[T]])*LN((Table1[[#This Row],[S0]]-Table1[[#This Row],[C]]+Table1[[#This Row],[P]])/Table1[[#This Row],[K]])
)</f>
        <v>#N/A</v>
      </c>
    </row>
    <row r="861" spans="1:18">
      <c r="A861">
        <v>2</v>
      </c>
      <c r="B861" t="s">
        <v>10</v>
      </c>
      <c r="C861" s="1">
        <v>46155</v>
      </c>
      <c r="D861" t="s">
        <v>14</v>
      </c>
      <c r="E861">
        <v>55</v>
      </c>
      <c r="F861" t="s">
        <v>12</v>
      </c>
      <c r="G861" t="s">
        <v>13</v>
      </c>
      <c r="H861" s="1">
        <v>46169</v>
      </c>
      <c r="I861">
        <v>0</v>
      </c>
      <c r="J861">
        <v>1.1047169811320701</v>
      </c>
      <c r="K861">
        <v>0</v>
      </c>
      <c r="L861">
        <v>1060</v>
      </c>
      <c r="M861">
        <v>46.630850549915898</v>
      </c>
      <c r="N861">
        <v>1.9279999999999999</v>
      </c>
      <c r="O861">
        <f>(Table1[[#This Row],[P]]&lt;&gt;0)*(Table1[[#This Row],[C]]&lt;&gt;0)</f>
        <v>0</v>
      </c>
      <c r="P861">
        <f>NETWORKDAYS(Table1[[#This Row],[ts_event]],Table1[[#This Row],[option_expiry_date]])</f>
        <v>11</v>
      </c>
      <c r="Q861">
        <f>Table1[[#This Row],[Column2]]/252</f>
        <v>4.3650793650793648E-2</v>
      </c>
      <c r="R861" s="2" t="e">
        <f>IF(Table1[[#This Row],[CHECK2]]=0,NA(),
-(1/Table1[[#This Row],[T]])*LN((Table1[[#This Row],[S0]]-Table1[[#This Row],[C]]+Table1[[#This Row],[P]])/Table1[[#This Row],[K]])
)</f>
        <v>#N/A</v>
      </c>
    </row>
    <row r="862" spans="1:18">
      <c r="A862">
        <v>2</v>
      </c>
      <c r="B862" t="s">
        <v>10</v>
      </c>
      <c r="C862" s="1">
        <v>46155</v>
      </c>
      <c r="D862" t="s">
        <v>14</v>
      </c>
      <c r="E862">
        <v>60</v>
      </c>
      <c r="F862" t="s">
        <v>12</v>
      </c>
      <c r="G862" t="s">
        <v>13</v>
      </c>
      <c r="H862" s="1">
        <v>46169</v>
      </c>
      <c r="I862">
        <v>0</v>
      </c>
      <c r="J862">
        <v>0.65</v>
      </c>
      <c r="K862">
        <v>0</v>
      </c>
      <c r="L862">
        <v>1615</v>
      </c>
      <c r="M862">
        <v>46.630850549915898</v>
      </c>
      <c r="N862">
        <v>1.9279999999999999</v>
      </c>
      <c r="O862">
        <f>(Table1[[#This Row],[P]]&lt;&gt;0)*(Table1[[#This Row],[C]]&lt;&gt;0)</f>
        <v>0</v>
      </c>
      <c r="P862">
        <f>NETWORKDAYS(Table1[[#This Row],[ts_event]],Table1[[#This Row],[option_expiry_date]])</f>
        <v>11</v>
      </c>
      <c r="Q862">
        <f>Table1[[#This Row],[Column2]]/252</f>
        <v>4.3650793650793648E-2</v>
      </c>
      <c r="R862" s="2" t="e">
        <f>IF(Table1[[#This Row],[CHECK2]]=0,NA(),
-(1/Table1[[#This Row],[T]])*LN((Table1[[#This Row],[S0]]-Table1[[#This Row],[C]]+Table1[[#This Row],[P]])/Table1[[#This Row],[K]])
)</f>
        <v>#N/A</v>
      </c>
    </row>
    <row r="863" spans="1:18">
      <c r="A863">
        <v>1</v>
      </c>
      <c r="B863" t="s">
        <v>10</v>
      </c>
      <c r="C863" s="1">
        <v>46155</v>
      </c>
      <c r="D863" t="s">
        <v>14</v>
      </c>
      <c r="E863">
        <v>65</v>
      </c>
      <c r="F863" t="s">
        <v>12</v>
      </c>
      <c r="G863" t="s">
        <v>13</v>
      </c>
      <c r="H863" s="1">
        <v>46169</v>
      </c>
      <c r="I863">
        <v>0</v>
      </c>
      <c r="J863">
        <v>0.4</v>
      </c>
      <c r="K863">
        <v>0</v>
      </c>
      <c r="L863">
        <v>500</v>
      </c>
      <c r="M863">
        <v>46.630850549915898</v>
      </c>
      <c r="N863">
        <v>1.9279999999999999</v>
      </c>
      <c r="O863">
        <f>(Table1[[#This Row],[P]]&lt;&gt;0)*(Table1[[#This Row],[C]]&lt;&gt;0)</f>
        <v>0</v>
      </c>
      <c r="P863">
        <f>NETWORKDAYS(Table1[[#This Row],[ts_event]],Table1[[#This Row],[option_expiry_date]])</f>
        <v>11</v>
      </c>
      <c r="Q863">
        <f>Table1[[#This Row],[Column2]]/252</f>
        <v>4.3650793650793648E-2</v>
      </c>
      <c r="R863" s="2" t="e">
        <f>IF(Table1[[#This Row],[CHECK2]]=0,NA(),
-(1/Table1[[#This Row],[T]])*LN((Table1[[#This Row],[S0]]-Table1[[#This Row],[C]]+Table1[[#This Row],[P]])/Table1[[#This Row],[K]])
)</f>
        <v>#N/A</v>
      </c>
    </row>
    <row r="864" spans="1:18">
      <c r="A864">
        <v>2</v>
      </c>
      <c r="B864" t="s">
        <v>10</v>
      </c>
      <c r="C864" s="1">
        <v>46155</v>
      </c>
      <c r="D864" t="s">
        <v>14</v>
      </c>
      <c r="E864">
        <v>70</v>
      </c>
      <c r="F864" t="s">
        <v>12</v>
      </c>
      <c r="G864" t="s">
        <v>13</v>
      </c>
      <c r="H864" s="1">
        <v>46169</v>
      </c>
      <c r="I864">
        <v>0</v>
      </c>
      <c r="J864">
        <v>0.25384196185286101</v>
      </c>
      <c r="K864">
        <v>0</v>
      </c>
      <c r="L864">
        <v>1835</v>
      </c>
      <c r="M864">
        <v>46.630850549915898</v>
      </c>
      <c r="N864">
        <v>1.9279999999999999</v>
      </c>
      <c r="O864">
        <f>(Table1[[#This Row],[P]]&lt;&gt;0)*(Table1[[#This Row],[C]]&lt;&gt;0)</f>
        <v>0</v>
      </c>
      <c r="P864">
        <f>NETWORKDAYS(Table1[[#This Row],[ts_event]],Table1[[#This Row],[option_expiry_date]])</f>
        <v>11</v>
      </c>
      <c r="Q864">
        <f>Table1[[#This Row],[Column2]]/252</f>
        <v>4.3650793650793648E-2</v>
      </c>
      <c r="R864" s="2" t="e">
        <f>IF(Table1[[#This Row],[CHECK2]]=0,NA(),
-(1/Table1[[#This Row],[T]])*LN((Table1[[#This Row],[S0]]-Table1[[#This Row],[C]]+Table1[[#This Row],[P]])/Table1[[#This Row],[K]])
)</f>
        <v>#N/A</v>
      </c>
    </row>
    <row r="865" spans="1:18">
      <c r="A865">
        <v>1</v>
      </c>
      <c r="B865" t="s">
        <v>10</v>
      </c>
      <c r="C865" s="1">
        <v>46155</v>
      </c>
      <c r="D865" t="s">
        <v>14</v>
      </c>
      <c r="E865">
        <v>80</v>
      </c>
      <c r="F865" t="s">
        <v>12</v>
      </c>
      <c r="G865" t="s">
        <v>13</v>
      </c>
      <c r="H865" s="1">
        <v>46169</v>
      </c>
      <c r="I865">
        <v>0</v>
      </c>
      <c r="J865">
        <v>0.13500000000000001</v>
      </c>
      <c r="K865">
        <v>0</v>
      </c>
      <c r="L865">
        <v>500</v>
      </c>
      <c r="M865">
        <v>46.630850549915898</v>
      </c>
      <c r="N865">
        <v>1.9279999999999999</v>
      </c>
      <c r="O865">
        <f>(Table1[[#This Row],[P]]&lt;&gt;0)*(Table1[[#This Row],[C]]&lt;&gt;0)</f>
        <v>0</v>
      </c>
      <c r="P865">
        <f>NETWORKDAYS(Table1[[#This Row],[ts_event]],Table1[[#This Row],[option_expiry_date]])</f>
        <v>11</v>
      </c>
      <c r="Q865">
        <f>Table1[[#This Row],[Column2]]/252</f>
        <v>4.3650793650793648E-2</v>
      </c>
      <c r="R865" s="2" t="e">
        <f>IF(Table1[[#This Row],[CHECK2]]=0,NA(),
-(1/Table1[[#This Row],[T]])*LN((Table1[[#This Row],[S0]]-Table1[[#This Row],[C]]+Table1[[#This Row],[P]])/Table1[[#This Row],[K]])
)</f>
        <v>#N/A</v>
      </c>
    </row>
    <row r="866" spans="1:18">
      <c r="A866">
        <v>1</v>
      </c>
      <c r="B866" t="s">
        <v>10</v>
      </c>
      <c r="C866" s="1">
        <v>46155</v>
      </c>
      <c r="D866" t="s">
        <v>14</v>
      </c>
      <c r="E866">
        <v>100</v>
      </c>
      <c r="F866" t="s">
        <v>12</v>
      </c>
      <c r="G866" t="s">
        <v>13</v>
      </c>
      <c r="H866" s="1">
        <v>46169</v>
      </c>
      <c r="I866">
        <v>0</v>
      </c>
      <c r="J866">
        <v>0.08</v>
      </c>
      <c r="K866">
        <v>0</v>
      </c>
      <c r="L866">
        <v>250</v>
      </c>
      <c r="M866">
        <v>46.630850549915898</v>
      </c>
      <c r="N866">
        <v>1.9279999999999999</v>
      </c>
      <c r="O866">
        <f>(Table1[[#This Row],[P]]&lt;&gt;0)*(Table1[[#This Row],[C]]&lt;&gt;0)</f>
        <v>0</v>
      </c>
      <c r="P866">
        <f>NETWORKDAYS(Table1[[#This Row],[ts_event]],Table1[[#This Row],[option_expiry_date]])</f>
        <v>11</v>
      </c>
      <c r="Q866">
        <f>Table1[[#This Row],[Column2]]/252</f>
        <v>4.3650793650793648E-2</v>
      </c>
      <c r="R866" s="2" t="e">
        <f>IF(Table1[[#This Row],[CHECK2]]=0,NA(),
-(1/Table1[[#This Row],[T]])*LN((Table1[[#This Row],[S0]]-Table1[[#This Row],[C]]+Table1[[#This Row],[P]])/Table1[[#This Row],[K]])
)</f>
        <v>#N/A</v>
      </c>
    </row>
    <row r="867" spans="1:18">
      <c r="A867">
        <v>1</v>
      </c>
      <c r="B867" t="s">
        <v>10</v>
      </c>
      <c r="C867" s="1">
        <v>46155</v>
      </c>
      <c r="D867" t="s">
        <v>15</v>
      </c>
      <c r="E867">
        <v>30</v>
      </c>
      <c r="F867" t="s">
        <v>12</v>
      </c>
      <c r="G867" t="s">
        <v>13</v>
      </c>
      <c r="H867" s="1">
        <v>46199</v>
      </c>
      <c r="I867">
        <v>0.12</v>
      </c>
      <c r="J867">
        <v>0</v>
      </c>
      <c r="K867">
        <v>1650</v>
      </c>
      <c r="L867">
        <v>0</v>
      </c>
      <c r="M867">
        <v>46.570130781161801</v>
      </c>
      <c r="N867">
        <v>1.9279999999999999</v>
      </c>
      <c r="O867">
        <f>(Table1[[#This Row],[P]]&lt;&gt;0)*(Table1[[#This Row],[C]]&lt;&gt;0)</f>
        <v>0</v>
      </c>
      <c r="P867">
        <f>NETWORKDAYS(Table1[[#This Row],[ts_event]],Table1[[#This Row],[option_expiry_date]])</f>
        <v>33</v>
      </c>
      <c r="Q867">
        <f>Table1[[#This Row],[Column2]]/252</f>
        <v>0.13095238095238096</v>
      </c>
      <c r="R867" s="2" t="e">
        <f>IF(Table1[[#This Row],[CHECK2]]=0,NA(),
-(1/Table1[[#This Row],[T]])*LN((Table1[[#This Row],[S0]]-Table1[[#This Row],[C]]+Table1[[#This Row],[P]])/Table1[[#This Row],[K]])
)</f>
        <v>#N/A</v>
      </c>
    </row>
    <row r="868" spans="1:18">
      <c r="A868">
        <v>1</v>
      </c>
      <c r="B868" t="s">
        <v>10</v>
      </c>
      <c r="C868" s="1">
        <v>46155</v>
      </c>
      <c r="D868" t="s">
        <v>15</v>
      </c>
      <c r="E868">
        <v>33</v>
      </c>
      <c r="F868" t="s">
        <v>12</v>
      </c>
      <c r="G868" t="s">
        <v>13</v>
      </c>
      <c r="H868" s="1">
        <v>46199</v>
      </c>
      <c r="I868">
        <v>0.27</v>
      </c>
      <c r="J868">
        <v>0</v>
      </c>
      <c r="K868">
        <v>100</v>
      </c>
      <c r="L868">
        <v>0</v>
      </c>
      <c r="M868">
        <v>46.570130781161801</v>
      </c>
      <c r="N868">
        <v>1.9279999999999999</v>
      </c>
      <c r="O868">
        <f>(Table1[[#This Row],[P]]&lt;&gt;0)*(Table1[[#This Row],[C]]&lt;&gt;0)</f>
        <v>0</v>
      </c>
      <c r="P868">
        <f>NETWORKDAYS(Table1[[#This Row],[ts_event]],Table1[[#This Row],[option_expiry_date]])</f>
        <v>33</v>
      </c>
      <c r="Q868">
        <f>Table1[[#This Row],[Column2]]/252</f>
        <v>0.13095238095238096</v>
      </c>
      <c r="R868" s="2" t="e">
        <f>IF(Table1[[#This Row],[CHECK2]]=0,NA(),
-(1/Table1[[#This Row],[T]])*LN((Table1[[#This Row],[S0]]-Table1[[#This Row],[C]]+Table1[[#This Row],[P]])/Table1[[#This Row],[K]])
)</f>
        <v>#N/A</v>
      </c>
    </row>
    <row r="869" spans="1:18">
      <c r="A869">
        <v>1</v>
      </c>
      <c r="B869" t="s">
        <v>10</v>
      </c>
      <c r="C869" s="1">
        <v>46155</v>
      </c>
      <c r="D869" t="s">
        <v>15</v>
      </c>
      <c r="E869">
        <v>34</v>
      </c>
      <c r="F869" t="s">
        <v>12</v>
      </c>
      <c r="G869" t="s">
        <v>13</v>
      </c>
      <c r="H869" s="1">
        <v>46199</v>
      </c>
      <c r="I869">
        <v>0.34</v>
      </c>
      <c r="J869">
        <v>0</v>
      </c>
      <c r="K869">
        <v>200</v>
      </c>
      <c r="L869">
        <v>0</v>
      </c>
      <c r="M869">
        <v>46.570130781161801</v>
      </c>
      <c r="N869">
        <v>1.9279999999999999</v>
      </c>
      <c r="O869">
        <f>(Table1[[#This Row],[P]]&lt;&gt;0)*(Table1[[#This Row],[C]]&lt;&gt;0)</f>
        <v>0</v>
      </c>
      <c r="P869">
        <f>NETWORKDAYS(Table1[[#This Row],[ts_event]],Table1[[#This Row],[option_expiry_date]])</f>
        <v>33</v>
      </c>
      <c r="Q869">
        <f>Table1[[#This Row],[Column2]]/252</f>
        <v>0.13095238095238096</v>
      </c>
      <c r="R869" s="2" t="e">
        <f>IF(Table1[[#This Row],[CHECK2]]=0,NA(),
-(1/Table1[[#This Row],[T]])*LN((Table1[[#This Row],[S0]]-Table1[[#This Row],[C]]+Table1[[#This Row],[P]])/Table1[[#This Row],[K]])
)</f>
        <v>#N/A</v>
      </c>
    </row>
    <row r="870" spans="1:18">
      <c r="A870">
        <v>1</v>
      </c>
      <c r="B870" t="s">
        <v>10</v>
      </c>
      <c r="C870" s="1">
        <v>46155</v>
      </c>
      <c r="D870" t="s">
        <v>15</v>
      </c>
      <c r="E870">
        <v>35</v>
      </c>
      <c r="F870" t="s">
        <v>12</v>
      </c>
      <c r="G870" t="s">
        <v>13</v>
      </c>
      <c r="H870" s="1">
        <v>46199</v>
      </c>
      <c r="I870">
        <v>0.51</v>
      </c>
      <c r="J870">
        <v>0</v>
      </c>
      <c r="K870">
        <v>3850</v>
      </c>
      <c r="L870">
        <v>0</v>
      </c>
      <c r="M870">
        <v>46.570130781161801</v>
      </c>
      <c r="N870">
        <v>1.9279999999999999</v>
      </c>
      <c r="O870">
        <f>(Table1[[#This Row],[P]]&lt;&gt;0)*(Table1[[#This Row],[C]]&lt;&gt;0)</f>
        <v>0</v>
      </c>
      <c r="P870">
        <f>NETWORKDAYS(Table1[[#This Row],[ts_event]],Table1[[#This Row],[option_expiry_date]])</f>
        <v>33</v>
      </c>
      <c r="Q870">
        <f>Table1[[#This Row],[Column2]]/252</f>
        <v>0.13095238095238096</v>
      </c>
      <c r="R870" s="2" t="e">
        <f>IF(Table1[[#This Row],[CHECK2]]=0,NA(),
-(1/Table1[[#This Row],[T]])*LN((Table1[[#This Row],[S0]]-Table1[[#This Row],[C]]+Table1[[#This Row],[P]])/Table1[[#This Row],[K]])
)</f>
        <v>#N/A</v>
      </c>
    </row>
    <row r="871" spans="1:18">
      <c r="A871">
        <v>1</v>
      </c>
      <c r="B871" t="s">
        <v>10</v>
      </c>
      <c r="C871" s="1">
        <v>46155</v>
      </c>
      <c r="D871" t="s">
        <v>15</v>
      </c>
      <c r="E871">
        <v>36</v>
      </c>
      <c r="F871" t="s">
        <v>12</v>
      </c>
      <c r="G871" t="s">
        <v>13</v>
      </c>
      <c r="H871" s="1">
        <v>46199</v>
      </c>
      <c r="I871">
        <v>0.64500000000000002</v>
      </c>
      <c r="J871">
        <v>0</v>
      </c>
      <c r="K871">
        <v>400</v>
      </c>
      <c r="L871">
        <v>0</v>
      </c>
      <c r="M871">
        <v>46.570130781161801</v>
      </c>
      <c r="N871">
        <v>1.9279999999999999</v>
      </c>
      <c r="O871">
        <f>(Table1[[#This Row],[P]]&lt;&gt;0)*(Table1[[#This Row],[C]]&lt;&gt;0)</f>
        <v>0</v>
      </c>
      <c r="P871">
        <f>NETWORKDAYS(Table1[[#This Row],[ts_event]],Table1[[#This Row],[option_expiry_date]])</f>
        <v>33</v>
      </c>
      <c r="Q871">
        <f>Table1[[#This Row],[Column2]]/252</f>
        <v>0.13095238095238096</v>
      </c>
      <c r="R871" s="2" t="e">
        <f>IF(Table1[[#This Row],[CHECK2]]=0,NA(),
-(1/Table1[[#This Row],[T]])*LN((Table1[[#This Row],[S0]]-Table1[[#This Row],[C]]+Table1[[#This Row],[P]])/Table1[[#This Row],[K]])
)</f>
        <v>#N/A</v>
      </c>
    </row>
    <row r="872" spans="1:18">
      <c r="A872">
        <v>1</v>
      </c>
      <c r="B872" t="s">
        <v>10</v>
      </c>
      <c r="C872" s="1">
        <v>46155</v>
      </c>
      <c r="D872" t="s">
        <v>15</v>
      </c>
      <c r="E872">
        <v>37</v>
      </c>
      <c r="F872" t="s">
        <v>12</v>
      </c>
      <c r="G872" t="s">
        <v>13</v>
      </c>
      <c r="H872" s="1">
        <v>46199</v>
      </c>
      <c r="I872">
        <v>0.83</v>
      </c>
      <c r="J872">
        <v>0</v>
      </c>
      <c r="K872">
        <v>100</v>
      </c>
      <c r="L872">
        <v>0</v>
      </c>
      <c r="M872">
        <v>46.570130781161801</v>
      </c>
      <c r="N872">
        <v>1.9279999999999999</v>
      </c>
      <c r="O872">
        <f>(Table1[[#This Row],[P]]&lt;&gt;0)*(Table1[[#This Row],[C]]&lt;&gt;0)</f>
        <v>0</v>
      </c>
      <c r="P872">
        <f>NETWORKDAYS(Table1[[#This Row],[ts_event]],Table1[[#This Row],[option_expiry_date]])</f>
        <v>33</v>
      </c>
      <c r="Q872">
        <f>Table1[[#This Row],[Column2]]/252</f>
        <v>0.13095238095238096</v>
      </c>
      <c r="R872" s="2" t="e">
        <f>IF(Table1[[#This Row],[CHECK2]]=0,NA(),
-(1/Table1[[#This Row],[T]])*LN((Table1[[#This Row],[S0]]-Table1[[#This Row],[C]]+Table1[[#This Row],[P]])/Table1[[#This Row],[K]])
)</f>
        <v>#N/A</v>
      </c>
    </row>
    <row r="873" spans="1:18">
      <c r="A873">
        <v>1</v>
      </c>
      <c r="B873" t="s">
        <v>10</v>
      </c>
      <c r="C873" s="1">
        <v>46155</v>
      </c>
      <c r="D873" t="s">
        <v>15</v>
      </c>
      <c r="E873">
        <v>39</v>
      </c>
      <c r="F873" t="s">
        <v>12</v>
      </c>
      <c r="G873" t="s">
        <v>13</v>
      </c>
      <c r="H873" s="1">
        <v>46199</v>
      </c>
      <c r="I873">
        <v>1.4</v>
      </c>
      <c r="J873">
        <v>0</v>
      </c>
      <c r="K873">
        <v>100</v>
      </c>
      <c r="L873">
        <v>0</v>
      </c>
      <c r="M873">
        <v>46.570130781161801</v>
      </c>
      <c r="N873">
        <v>1.9279999999999999</v>
      </c>
      <c r="O873">
        <f>(Table1[[#This Row],[P]]&lt;&gt;0)*(Table1[[#This Row],[C]]&lt;&gt;0)</f>
        <v>0</v>
      </c>
      <c r="P873">
        <f>NETWORKDAYS(Table1[[#This Row],[ts_event]],Table1[[#This Row],[option_expiry_date]])</f>
        <v>33</v>
      </c>
      <c r="Q873">
        <f>Table1[[#This Row],[Column2]]/252</f>
        <v>0.13095238095238096</v>
      </c>
      <c r="R873" s="2" t="e">
        <f>IF(Table1[[#This Row],[CHECK2]]=0,NA(),
-(1/Table1[[#This Row],[T]])*LN((Table1[[#This Row],[S0]]-Table1[[#This Row],[C]]+Table1[[#This Row],[P]])/Table1[[#This Row],[K]])
)</f>
        <v>#N/A</v>
      </c>
    </row>
    <row r="874" spans="1:18">
      <c r="A874">
        <v>2</v>
      </c>
      <c r="B874" t="s">
        <v>10</v>
      </c>
      <c r="C874" s="1">
        <v>46155</v>
      </c>
      <c r="D874" t="s">
        <v>15</v>
      </c>
      <c r="E874">
        <v>40</v>
      </c>
      <c r="F874" t="s">
        <v>12</v>
      </c>
      <c r="G874" t="s">
        <v>13</v>
      </c>
      <c r="H874" s="1">
        <v>46199</v>
      </c>
      <c r="I874">
        <v>1.7466037735849</v>
      </c>
      <c r="J874">
        <v>0</v>
      </c>
      <c r="K874">
        <v>2650</v>
      </c>
      <c r="L874">
        <v>0</v>
      </c>
      <c r="M874">
        <v>46.570130781161801</v>
      </c>
      <c r="N874">
        <v>1.9279999999999999</v>
      </c>
      <c r="O874">
        <f>(Table1[[#This Row],[P]]&lt;&gt;0)*(Table1[[#This Row],[C]]&lt;&gt;0)</f>
        <v>0</v>
      </c>
      <c r="P874">
        <f>NETWORKDAYS(Table1[[#This Row],[ts_event]],Table1[[#This Row],[option_expiry_date]])</f>
        <v>33</v>
      </c>
      <c r="Q874">
        <f>Table1[[#This Row],[Column2]]/252</f>
        <v>0.13095238095238096</v>
      </c>
      <c r="R874" s="2" t="e">
        <f>IF(Table1[[#This Row],[CHECK2]]=0,NA(),
-(1/Table1[[#This Row],[T]])*LN((Table1[[#This Row],[S0]]-Table1[[#This Row],[C]]+Table1[[#This Row],[P]])/Table1[[#This Row],[K]])
)</f>
        <v>#N/A</v>
      </c>
    </row>
    <row r="875" spans="1:18">
      <c r="A875">
        <v>1</v>
      </c>
      <c r="B875" t="s">
        <v>10</v>
      </c>
      <c r="C875" s="1">
        <v>46155</v>
      </c>
      <c r="D875" t="s">
        <v>15</v>
      </c>
      <c r="E875">
        <v>41</v>
      </c>
      <c r="F875" t="s">
        <v>12</v>
      </c>
      <c r="G875" t="s">
        <v>13</v>
      </c>
      <c r="H875" s="1">
        <v>46199</v>
      </c>
      <c r="I875">
        <v>2.145</v>
      </c>
      <c r="J875">
        <v>0</v>
      </c>
      <c r="K875">
        <v>200</v>
      </c>
      <c r="L875">
        <v>0</v>
      </c>
      <c r="M875">
        <v>46.570130781161801</v>
      </c>
      <c r="N875">
        <v>1.9279999999999999</v>
      </c>
      <c r="O875">
        <f>(Table1[[#This Row],[P]]&lt;&gt;0)*(Table1[[#This Row],[C]]&lt;&gt;0)</f>
        <v>0</v>
      </c>
      <c r="P875">
        <f>NETWORKDAYS(Table1[[#This Row],[ts_event]],Table1[[#This Row],[option_expiry_date]])</f>
        <v>33</v>
      </c>
      <c r="Q875">
        <f>Table1[[#This Row],[Column2]]/252</f>
        <v>0.13095238095238096</v>
      </c>
      <c r="R875" s="2" t="e">
        <f>IF(Table1[[#This Row],[CHECK2]]=0,NA(),
-(1/Table1[[#This Row],[T]])*LN((Table1[[#This Row],[S0]]-Table1[[#This Row],[C]]+Table1[[#This Row],[P]])/Table1[[#This Row],[K]])
)</f>
        <v>#N/A</v>
      </c>
    </row>
    <row r="876" spans="1:18">
      <c r="A876">
        <v>1</v>
      </c>
      <c r="B876" t="s">
        <v>10</v>
      </c>
      <c r="C876" s="1">
        <v>46155</v>
      </c>
      <c r="D876" t="s">
        <v>15</v>
      </c>
      <c r="E876">
        <v>42</v>
      </c>
      <c r="F876" t="s">
        <v>12</v>
      </c>
      <c r="G876" t="s">
        <v>13</v>
      </c>
      <c r="H876" s="1">
        <v>46199</v>
      </c>
      <c r="I876">
        <v>2.58</v>
      </c>
      <c r="J876">
        <v>0</v>
      </c>
      <c r="K876">
        <v>2625</v>
      </c>
      <c r="L876">
        <v>0</v>
      </c>
      <c r="M876">
        <v>46.570130781161801</v>
      </c>
      <c r="N876">
        <v>1.9279999999999999</v>
      </c>
      <c r="O876">
        <f>(Table1[[#This Row],[P]]&lt;&gt;0)*(Table1[[#This Row],[C]]&lt;&gt;0)</f>
        <v>0</v>
      </c>
      <c r="P876">
        <f>NETWORKDAYS(Table1[[#This Row],[ts_event]],Table1[[#This Row],[option_expiry_date]])</f>
        <v>33</v>
      </c>
      <c r="Q876">
        <f>Table1[[#This Row],[Column2]]/252</f>
        <v>0.13095238095238096</v>
      </c>
      <c r="R876" s="2" t="e">
        <f>IF(Table1[[#This Row],[CHECK2]]=0,NA(),
-(1/Table1[[#This Row],[T]])*LN((Table1[[#This Row],[S0]]-Table1[[#This Row],[C]]+Table1[[#This Row],[P]])/Table1[[#This Row],[K]])
)</f>
        <v>#N/A</v>
      </c>
    </row>
    <row r="877" spans="1:18">
      <c r="A877">
        <v>1</v>
      </c>
      <c r="B877" t="s">
        <v>10</v>
      </c>
      <c r="C877" s="1">
        <v>46155</v>
      </c>
      <c r="D877" t="s">
        <v>15</v>
      </c>
      <c r="E877">
        <v>45</v>
      </c>
      <c r="F877" t="s">
        <v>12</v>
      </c>
      <c r="G877" t="s">
        <v>13</v>
      </c>
      <c r="H877" s="1">
        <v>46199</v>
      </c>
      <c r="I877">
        <v>4.2300000000000004</v>
      </c>
      <c r="J877">
        <v>0</v>
      </c>
      <c r="K877">
        <v>1080</v>
      </c>
      <c r="L877">
        <v>0</v>
      </c>
      <c r="M877">
        <v>46.570130781161801</v>
      </c>
      <c r="N877">
        <v>1.9279999999999999</v>
      </c>
      <c r="O877">
        <f>(Table1[[#This Row],[P]]&lt;&gt;0)*(Table1[[#This Row],[C]]&lt;&gt;0)</f>
        <v>0</v>
      </c>
      <c r="P877">
        <f>NETWORKDAYS(Table1[[#This Row],[ts_event]],Table1[[#This Row],[option_expiry_date]])</f>
        <v>33</v>
      </c>
      <c r="Q877">
        <f>Table1[[#This Row],[Column2]]/252</f>
        <v>0.13095238095238096</v>
      </c>
      <c r="R877" s="2" t="e">
        <f>IF(Table1[[#This Row],[CHECK2]]=0,NA(),
-(1/Table1[[#This Row],[T]])*LN((Table1[[#This Row],[S0]]-Table1[[#This Row],[C]]+Table1[[#This Row],[P]])/Table1[[#This Row],[K]])
)</f>
        <v>#N/A</v>
      </c>
    </row>
    <row r="878" spans="1:18">
      <c r="A878">
        <v>1</v>
      </c>
      <c r="B878" t="s">
        <v>10</v>
      </c>
      <c r="C878" s="1">
        <v>46155</v>
      </c>
      <c r="D878" t="s">
        <v>15</v>
      </c>
      <c r="E878">
        <v>50</v>
      </c>
      <c r="F878" t="s">
        <v>12</v>
      </c>
      <c r="G878" t="s">
        <v>13</v>
      </c>
      <c r="H878" s="1">
        <v>46199</v>
      </c>
      <c r="I878">
        <v>0</v>
      </c>
      <c r="J878">
        <v>4.1449999999999996</v>
      </c>
      <c r="K878">
        <v>0</v>
      </c>
      <c r="L878">
        <v>750</v>
      </c>
      <c r="M878">
        <v>46.570130781161801</v>
      </c>
      <c r="N878">
        <v>1.9279999999999999</v>
      </c>
      <c r="O878">
        <f>(Table1[[#This Row],[P]]&lt;&gt;0)*(Table1[[#This Row],[C]]&lt;&gt;0)</f>
        <v>0</v>
      </c>
      <c r="P878">
        <f>NETWORKDAYS(Table1[[#This Row],[ts_event]],Table1[[#This Row],[option_expiry_date]])</f>
        <v>33</v>
      </c>
      <c r="Q878">
        <f>Table1[[#This Row],[Column2]]/252</f>
        <v>0.13095238095238096</v>
      </c>
      <c r="R878" s="2" t="e">
        <f>IF(Table1[[#This Row],[CHECK2]]=0,NA(),
-(1/Table1[[#This Row],[T]])*LN((Table1[[#This Row],[S0]]-Table1[[#This Row],[C]]+Table1[[#This Row],[P]])/Table1[[#This Row],[K]])
)</f>
        <v>#N/A</v>
      </c>
    </row>
    <row r="879" spans="1:18">
      <c r="A879">
        <v>2</v>
      </c>
      <c r="B879" t="s">
        <v>10</v>
      </c>
      <c r="C879" s="1">
        <v>46155</v>
      </c>
      <c r="D879" t="s">
        <v>15</v>
      </c>
      <c r="E879">
        <v>55</v>
      </c>
      <c r="F879" t="s">
        <v>12</v>
      </c>
      <c r="G879" t="s">
        <v>13</v>
      </c>
      <c r="H879" s="1">
        <v>46199</v>
      </c>
      <c r="I879">
        <v>0</v>
      </c>
      <c r="J879">
        <v>3.0718749999999999</v>
      </c>
      <c r="K879">
        <v>0</v>
      </c>
      <c r="L879">
        <v>160</v>
      </c>
      <c r="M879">
        <v>46.570130781161801</v>
      </c>
      <c r="N879">
        <v>1.9279999999999999</v>
      </c>
      <c r="O879">
        <f>(Table1[[#This Row],[P]]&lt;&gt;0)*(Table1[[#This Row],[C]]&lt;&gt;0)</f>
        <v>0</v>
      </c>
      <c r="P879">
        <f>NETWORKDAYS(Table1[[#This Row],[ts_event]],Table1[[#This Row],[option_expiry_date]])</f>
        <v>33</v>
      </c>
      <c r="Q879">
        <f>Table1[[#This Row],[Column2]]/252</f>
        <v>0.13095238095238096</v>
      </c>
      <c r="R879" s="2" t="e">
        <f>IF(Table1[[#This Row],[CHECK2]]=0,NA(),
-(1/Table1[[#This Row],[T]])*LN((Table1[[#This Row],[S0]]-Table1[[#This Row],[C]]+Table1[[#This Row],[P]])/Table1[[#This Row],[K]])
)</f>
        <v>#N/A</v>
      </c>
    </row>
    <row r="880" spans="1:18">
      <c r="A880">
        <v>1</v>
      </c>
      <c r="B880" t="s">
        <v>10</v>
      </c>
      <c r="C880" s="1">
        <v>46155</v>
      </c>
      <c r="D880" t="s">
        <v>15</v>
      </c>
      <c r="E880">
        <v>60</v>
      </c>
      <c r="F880" t="s">
        <v>12</v>
      </c>
      <c r="G880" t="s">
        <v>13</v>
      </c>
      <c r="H880" s="1">
        <v>46199</v>
      </c>
      <c r="I880">
        <v>0</v>
      </c>
      <c r="J880">
        <v>2.4300000000000002</v>
      </c>
      <c r="K880">
        <v>0</v>
      </c>
      <c r="L880">
        <v>2150</v>
      </c>
      <c r="M880">
        <v>46.570130781161801</v>
      </c>
      <c r="N880">
        <v>1.9279999999999999</v>
      </c>
      <c r="O880">
        <f>(Table1[[#This Row],[P]]&lt;&gt;0)*(Table1[[#This Row],[C]]&lt;&gt;0)</f>
        <v>0</v>
      </c>
      <c r="P880">
        <f>NETWORKDAYS(Table1[[#This Row],[ts_event]],Table1[[#This Row],[option_expiry_date]])</f>
        <v>33</v>
      </c>
      <c r="Q880">
        <f>Table1[[#This Row],[Column2]]/252</f>
        <v>0.13095238095238096</v>
      </c>
      <c r="R880" s="2" t="e">
        <f>IF(Table1[[#This Row],[CHECK2]]=0,NA(),
-(1/Table1[[#This Row],[T]])*LN((Table1[[#This Row],[S0]]-Table1[[#This Row],[C]]+Table1[[#This Row],[P]])/Table1[[#This Row],[K]])
)</f>
        <v>#N/A</v>
      </c>
    </row>
    <row r="881" spans="1:18">
      <c r="A881">
        <v>1</v>
      </c>
      <c r="B881" t="s">
        <v>10</v>
      </c>
      <c r="C881" s="1">
        <v>46155</v>
      </c>
      <c r="D881" t="s">
        <v>15</v>
      </c>
      <c r="E881">
        <v>75</v>
      </c>
      <c r="F881" t="s">
        <v>12</v>
      </c>
      <c r="G881" t="s">
        <v>13</v>
      </c>
      <c r="H881" s="1">
        <v>46199</v>
      </c>
      <c r="I881">
        <v>0</v>
      </c>
      <c r="J881">
        <v>1.18</v>
      </c>
      <c r="K881">
        <v>0</v>
      </c>
      <c r="L881">
        <v>800</v>
      </c>
      <c r="M881">
        <v>46.570130781161801</v>
      </c>
      <c r="N881">
        <v>1.9279999999999999</v>
      </c>
      <c r="O881">
        <f>(Table1[[#This Row],[P]]&lt;&gt;0)*(Table1[[#This Row],[C]]&lt;&gt;0)</f>
        <v>0</v>
      </c>
      <c r="P881">
        <f>NETWORKDAYS(Table1[[#This Row],[ts_event]],Table1[[#This Row],[option_expiry_date]])</f>
        <v>33</v>
      </c>
      <c r="Q881">
        <f>Table1[[#This Row],[Column2]]/252</f>
        <v>0.13095238095238096</v>
      </c>
      <c r="R881" s="2" t="e">
        <f>IF(Table1[[#This Row],[CHECK2]]=0,NA(),
-(1/Table1[[#This Row],[T]])*LN((Table1[[#This Row],[S0]]-Table1[[#This Row],[C]]+Table1[[#This Row],[P]])/Table1[[#This Row],[K]])
)</f>
        <v>#N/A</v>
      </c>
    </row>
    <row r="882" spans="1:18">
      <c r="A882">
        <v>1</v>
      </c>
      <c r="B882" t="s">
        <v>10</v>
      </c>
      <c r="C882" s="1">
        <v>46155</v>
      </c>
      <c r="D882" t="s">
        <v>16</v>
      </c>
      <c r="E882">
        <v>35</v>
      </c>
      <c r="F882" t="s">
        <v>12</v>
      </c>
      <c r="G882" t="s">
        <v>13</v>
      </c>
      <c r="H882" s="1">
        <v>46230</v>
      </c>
      <c r="I882">
        <v>0.96</v>
      </c>
      <c r="J882">
        <v>0</v>
      </c>
      <c r="K882">
        <v>3150</v>
      </c>
      <c r="L882">
        <v>0</v>
      </c>
      <c r="M882">
        <v>46.472735861927802</v>
      </c>
      <c r="N882">
        <v>1.9279999999999999</v>
      </c>
      <c r="O882">
        <f>(Table1[[#This Row],[P]]&lt;&gt;0)*(Table1[[#This Row],[C]]&lt;&gt;0)</f>
        <v>0</v>
      </c>
      <c r="P882">
        <f>NETWORKDAYS(Table1[[#This Row],[ts_event]],Table1[[#This Row],[option_expiry_date]])</f>
        <v>54</v>
      </c>
      <c r="Q882">
        <f>Table1[[#This Row],[Column2]]/252</f>
        <v>0.21428571428571427</v>
      </c>
      <c r="R882" s="2" t="e">
        <f>IF(Table1[[#This Row],[CHECK2]]=0,NA(),
-(1/Table1[[#This Row],[T]])*LN((Table1[[#This Row],[S0]]-Table1[[#This Row],[C]]+Table1[[#This Row],[P]])/Table1[[#This Row],[K]])
)</f>
        <v>#N/A</v>
      </c>
    </row>
    <row r="883" spans="1:18">
      <c r="A883">
        <v>1</v>
      </c>
      <c r="B883" t="s">
        <v>10</v>
      </c>
      <c r="C883" s="1">
        <v>46155</v>
      </c>
      <c r="D883" t="s">
        <v>16</v>
      </c>
      <c r="E883">
        <v>45</v>
      </c>
      <c r="F883" t="s">
        <v>12</v>
      </c>
      <c r="G883" t="s">
        <v>13</v>
      </c>
      <c r="H883" s="1">
        <v>46230</v>
      </c>
      <c r="I883">
        <v>5.6</v>
      </c>
      <c r="J883">
        <v>0</v>
      </c>
      <c r="K883">
        <v>780</v>
      </c>
      <c r="L883">
        <v>0</v>
      </c>
      <c r="M883">
        <v>46.472735861927802</v>
      </c>
      <c r="N883">
        <v>1.9279999999999999</v>
      </c>
      <c r="O883">
        <f>(Table1[[#This Row],[P]]&lt;&gt;0)*(Table1[[#This Row],[C]]&lt;&gt;0)</f>
        <v>0</v>
      </c>
      <c r="P883">
        <f>NETWORKDAYS(Table1[[#This Row],[ts_event]],Table1[[#This Row],[option_expiry_date]])</f>
        <v>54</v>
      </c>
      <c r="Q883">
        <f>Table1[[#This Row],[Column2]]/252</f>
        <v>0.21428571428571427</v>
      </c>
      <c r="R883" s="2" t="e">
        <f>IF(Table1[[#This Row],[CHECK2]]=0,NA(),
-(1/Table1[[#This Row],[T]])*LN((Table1[[#This Row],[S0]]-Table1[[#This Row],[C]]+Table1[[#This Row],[P]])/Table1[[#This Row],[K]])
)</f>
        <v>#N/A</v>
      </c>
    </row>
    <row r="884" spans="1:18">
      <c r="A884">
        <v>1</v>
      </c>
      <c r="B884" t="s">
        <v>10</v>
      </c>
      <c r="C884" s="1">
        <v>46155</v>
      </c>
      <c r="D884" t="s">
        <v>16</v>
      </c>
      <c r="E884">
        <v>125</v>
      </c>
      <c r="F884" t="s">
        <v>12</v>
      </c>
      <c r="G884" t="s">
        <v>13</v>
      </c>
      <c r="H884" s="1">
        <v>46230</v>
      </c>
      <c r="I884">
        <v>0</v>
      </c>
      <c r="J884">
        <v>0.62</v>
      </c>
      <c r="K884">
        <v>0</v>
      </c>
      <c r="L884">
        <v>25</v>
      </c>
      <c r="M884">
        <v>46.472735861927802</v>
      </c>
      <c r="N884">
        <v>1.9279999999999999</v>
      </c>
      <c r="O884">
        <f>(Table1[[#This Row],[P]]&lt;&gt;0)*(Table1[[#This Row],[C]]&lt;&gt;0)</f>
        <v>0</v>
      </c>
      <c r="P884">
        <f>NETWORKDAYS(Table1[[#This Row],[ts_event]],Table1[[#This Row],[option_expiry_date]])</f>
        <v>54</v>
      </c>
      <c r="Q884">
        <f>Table1[[#This Row],[Column2]]/252</f>
        <v>0.21428571428571427</v>
      </c>
      <c r="R884" s="2" t="e">
        <f>IF(Table1[[#This Row],[CHECK2]]=0,NA(),
-(1/Table1[[#This Row],[T]])*LN((Table1[[#This Row],[S0]]-Table1[[#This Row],[C]]+Table1[[#This Row],[P]])/Table1[[#This Row],[K]])
)</f>
        <v>#N/A</v>
      </c>
    </row>
    <row r="885" spans="1:18">
      <c r="A885">
        <v>1</v>
      </c>
      <c r="B885" t="s">
        <v>10</v>
      </c>
      <c r="C885" s="1">
        <v>46155</v>
      </c>
      <c r="D885" t="s">
        <v>17</v>
      </c>
      <c r="E885">
        <v>33</v>
      </c>
      <c r="F885" t="s">
        <v>12</v>
      </c>
      <c r="G885" t="s">
        <v>13</v>
      </c>
      <c r="H885" s="1">
        <v>46260</v>
      </c>
      <c r="I885">
        <v>0.85499999999999998</v>
      </c>
      <c r="J885">
        <v>0</v>
      </c>
      <c r="K885">
        <v>10</v>
      </c>
      <c r="L885">
        <v>0</v>
      </c>
      <c r="M885">
        <v>46.495187771681003</v>
      </c>
      <c r="N885">
        <v>1.9279999999999999</v>
      </c>
      <c r="O885">
        <f>(Table1[[#This Row],[P]]&lt;&gt;0)*(Table1[[#This Row],[C]]&lt;&gt;0)</f>
        <v>0</v>
      </c>
      <c r="P885">
        <f>NETWORKDAYS(Table1[[#This Row],[ts_event]],Table1[[#This Row],[option_expiry_date]])</f>
        <v>76</v>
      </c>
      <c r="Q885">
        <f>Table1[[#This Row],[Column2]]/252</f>
        <v>0.30158730158730157</v>
      </c>
      <c r="R885" s="2" t="e">
        <f>IF(Table1[[#This Row],[CHECK2]]=0,NA(),
-(1/Table1[[#This Row],[T]])*LN((Table1[[#This Row],[S0]]-Table1[[#This Row],[C]]+Table1[[#This Row],[P]])/Table1[[#This Row],[K]])
)</f>
        <v>#N/A</v>
      </c>
    </row>
    <row r="886" spans="1:18">
      <c r="A886">
        <v>1</v>
      </c>
      <c r="B886" t="s">
        <v>10</v>
      </c>
      <c r="C886" s="1">
        <v>46155</v>
      </c>
      <c r="D886" t="s">
        <v>17</v>
      </c>
      <c r="E886">
        <v>35</v>
      </c>
      <c r="F886" t="s">
        <v>12</v>
      </c>
      <c r="G886" t="s">
        <v>13</v>
      </c>
      <c r="H886" s="1">
        <v>46260</v>
      </c>
      <c r="I886">
        <v>1.36</v>
      </c>
      <c r="J886">
        <v>0</v>
      </c>
      <c r="K886">
        <v>3500</v>
      </c>
      <c r="L886">
        <v>0</v>
      </c>
      <c r="M886">
        <v>46.495187771681003</v>
      </c>
      <c r="N886">
        <v>1.9279999999999999</v>
      </c>
      <c r="O886">
        <f>(Table1[[#This Row],[P]]&lt;&gt;0)*(Table1[[#This Row],[C]]&lt;&gt;0)</f>
        <v>0</v>
      </c>
      <c r="P886">
        <f>NETWORKDAYS(Table1[[#This Row],[ts_event]],Table1[[#This Row],[option_expiry_date]])</f>
        <v>76</v>
      </c>
      <c r="Q886">
        <f>Table1[[#This Row],[Column2]]/252</f>
        <v>0.30158730158730157</v>
      </c>
      <c r="R886" s="2" t="e">
        <f>IF(Table1[[#This Row],[CHECK2]]=0,NA(),
-(1/Table1[[#This Row],[T]])*LN((Table1[[#This Row],[S0]]-Table1[[#This Row],[C]]+Table1[[#This Row],[P]])/Table1[[#This Row],[K]])
)</f>
        <v>#N/A</v>
      </c>
    </row>
    <row r="887" spans="1:18">
      <c r="A887">
        <v>1</v>
      </c>
      <c r="B887" t="s">
        <v>10</v>
      </c>
      <c r="C887" s="1">
        <v>46155</v>
      </c>
      <c r="D887" t="s">
        <v>17</v>
      </c>
      <c r="E887">
        <v>40</v>
      </c>
      <c r="F887" t="s">
        <v>12</v>
      </c>
      <c r="G887" t="s">
        <v>13</v>
      </c>
      <c r="H887" s="1">
        <v>46260</v>
      </c>
      <c r="I887">
        <v>3.4</v>
      </c>
      <c r="J887">
        <v>0</v>
      </c>
      <c r="K887">
        <v>2250</v>
      </c>
      <c r="L887">
        <v>0</v>
      </c>
      <c r="M887">
        <v>46.495187771681003</v>
      </c>
      <c r="N887">
        <v>1.9279999999999999</v>
      </c>
      <c r="O887">
        <f>(Table1[[#This Row],[P]]&lt;&gt;0)*(Table1[[#This Row],[C]]&lt;&gt;0)</f>
        <v>0</v>
      </c>
      <c r="P887">
        <f>NETWORKDAYS(Table1[[#This Row],[ts_event]],Table1[[#This Row],[option_expiry_date]])</f>
        <v>76</v>
      </c>
      <c r="Q887">
        <f>Table1[[#This Row],[Column2]]/252</f>
        <v>0.30158730158730157</v>
      </c>
      <c r="R887" s="2" t="e">
        <f>IF(Table1[[#This Row],[CHECK2]]=0,NA(),
-(1/Table1[[#This Row],[T]])*LN((Table1[[#This Row],[S0]]-Table1[[#This Row],[C]]+Table1[[#This Row],[P]])/Table1[[#This Row],[K]])
)</f>
        <v>#N/A</v>
      </c>
    </row>
    <row r="888" spans="1:18">
      <c r="A888">
        <v>1</v>
      </c>
      <c r="B888" t="s">
        <v>10</v>
      </c>
      <c r="C888" s="1">
        <v>46155</v>
      </c>
      <c r="D888" t="s">
        <v>17</v>
      </c>
      <c r="E888">
        <v>46</v>
      </c>
      <c r="F888" t="s">
        <v>12</v>
      </c>
      <c r="G888" t="s">
        <v>13</v>
      </c>
      <c r="H888" s="1">
        <v>46260</v>
      </c>
      <c r="I888">
        <v>7.05</v>
      </c>
      <c r="J888">
        <v>0</v>
      </c>
      <c r="K888">
        <v>100</v>
      </c>
      <c r="L888">
        <v>0</v>
      </c>
      <c r="M888">
        <v>46.495187771681003</v>
      </c>
      <c r="N888">
        <v>1.9279999999999999</v>
      </c>
      <c r="O888">
        <f>(Table1[[#This Row],[P]]&lt;&gt;0)*(Table1[[#This Row],[C]]&lt;&gt;0)</f>
        <v>0</v>
      </c>
      <c r="P888">
        <f>NETWORKDAYS(Table1[[#This Row],[ts_event]],Table1[[#This Row],[option_expiry_date]])</f>
        <v>76</v>
      </c>
      <c r="Q888">
        <f>Table1[[#This Row],[Column2]]/252</f>
        <v>0.30158730158730157</v>
      </c>
      <c r="R888" s="2" t="e">
        <f>IF(Table1[[#This Row],[CHECK2]]=0,NA(),
-(1/Table1[[#This Row],[T]])*LN((Table1[[#This Row],[S0]]-Table1[[#This Row],[C]]+Table1[[#This Row],[P]])/Table1[[#This Row],[K]])
)</f>
        <v>#N/A</v>
      </c>
    </row>
    <row r="889" spans="1:18">
      <c r="A889">
        <v>1</v>
      </c>
      <c r="B889" t="s">
        <v>10</v>
      </c>
      <c r="C889" s="1">
        <v>46155</v>
      </c>
      <c r="D889" t="s">
        <v>24</v>
      </c>
      <c r="E889">
        <v>35</v>
      </c>
      <c r="F889" t="s">
        <v>12</v>
      </c>
      <c r="G889" t="s">
        <v>13</v>
      </c>
      <c r="H889" s="1">
        <v>46414</v>
      </c>
      <c r="I889">
        <v>4.1500000000000004</v>
      </c>
      <c r="J889">
        <v>0</v>
      </c>
      <c r="K889">
        <v>320</v>
      </c>
      <c r="L889">
        <v>0</v>
      </c>
      <c r="M889">
        <v>45.056287352327999</v>
      </c>
      <c r="N889">
        <v>1.9279999999999999</v>
      </c>
      <c r="O889">
        <f>(Table1[[#This Row],[P]]&lt;&gt;0)*(Table1[[#This Row],[C]]&lt;&gt;0)</f>
        <v>0</v>
      </c>
      <c r="P889">
        <f>NETWORKDAYS(Table1[[#This Row],[ts_event]],Table1[[#This Row],[option_expiry_date]])</f>
        <v>186</v>
      </c>
      <c r="Q889">
        <f>Table1[[#This Row],[Column2]]/252</f>
        <v>0.73809523809523814</v>
      </c>
      <c r="R889" s="2" t="e">
        <f>IF(Table1[[#This Row],[CHECK2]]=0,NA(),
-(1/Table1[[#This Row],[T]])*LN((Table1[[#This Row],[S0]]-Table1[[#This Row],[C]]+Table1[[#This Row],[P]])/Table1[[#This Row],[K]])
)</f>
        <v>#N/A</v>
      </c>
    </row>
    <row r="890" spans="1:18">
      <c r="A890">
        <v>1</v>
      </c>
      <c r="B890" t="s">
        <v>10</v>
      </c>
      <c r="C890" s="1">
        <v>46155</v>
      </c>
      <c r="D890" t="s">
        <v>24</v>
      </c>
      <c r="E890">
        <v>75</v>
      </c>
      <c r="F890" t="s">
        <v>12</v>
      </c>
      <c r="G890" t="s">
        <v>13</v>
      </c>
      <c r="H890" s="1">
        <v>46414</v>
      </c>
      <c r="I890">
        <v>0</v>
      </c>
      <c r="J890">
        <v>5.6</v>
      </c>
      <c r="K890">
        <v>0</v>
      </c>
      <c r="L890">
        <v>170</v>
      </c>
      <c r="M890">
        <v>45.056287352327999</v>
      </c>
      <c r="N890">
        <v>1.9279999999999999</v>
      </c>
      <c r="O890">
        <f>(Table1[[#This Row],[P]]&lt;&gt;0)*(Table1[[#This Row],[C]]&lt;&gt;0)</f>
        <v>0</v>
      </c>
      <c r="P890">
        <f>NETWORKDAYS(Table1[[#This Row],[ts_event]],Table1[[#This Row],[option_expiry_date]])</f>
        <v>186</v>
      </c>
      <c r="Q890">
        <f>Table1[[#This Row],[Column2]]/252</f>
        <v>0.73809523809523814</v>
      </c>
      <c r="R890" s="2" t="e">
        <f>IF(Table1[[#This Row],[CHECK2]]=0,NA(),
-(1/Table1[[#This Row],[T]])*LN((Table1[[#This Row],[S0]]-Table1[[#This Row],[C]]+Table1[[#This Row],[P]])/Table1[[#This Row],[K]])
)</f>
        <v>#N/A</v>
      </c>
    </row>
    <row r="891" spans="1:18">
      <c r="A891">
        <v>2</v>
      </c>
      <c r="B891" t="s">
        <v>10</v>
      </c>
      <c r="C891" s="1">
        <v>46156</v>
      </c>
      <c r="D891" t="s">
        <v>14</v>
      </c>
      <c r="E891">
        <v>35</v>
      </c>
      <c r="F891" t="s">
        <v>12</v>
      </c>
      <c r="G891" t="s">
        <v>13</v>
      </c>
      <c r="H891" s="1">
        <v>46169</v>
      </c>
      <c r="I891">
        <v>0.14729729729729699</v>
      </c>
      <c r="J891">
        <v>0</v>
      </c>
      <c r="K891">
        <v>925</v>
      </c>
      <c r="L891">
        <v>0</v>
      </c>
      <c r="M891">
        <v>47.899518973094601</v>
      </c>
      <c r="N891">
        <v>1.93</v>
      </c>
      <c r="O891">
        <f>(Table1[[#This Row],[P]]&lt;&gt;0)*(Table1[[#This Row],[C]]&lt;&gt;0)</f>
        <v>0</v>
      </c>
      <c r="P891">
        <f>NETWORKDAYS(Table1[[#This Row],[ts_event]],Table1[[#This Row],[option_expiry_date]])</f>
        <v>10</v>
      </c>
      <c r="Q891">
        <f>Table1[[#This Row],[Column2]]/252</f>
        <v>3.968253968253968E-2</v>
      </c>
      <c r="R891" s="2" t="e">
        <f>IF(Table1[[#This Row],[CHECK2]]=0,NA(),
-(1/Table1[[#This Row],[T]])*LN((Table1[[#This Row],[S0]]-Table1[[#This Row],[C]]+Table1[[#This Row],[P]])/Table1[[#This Row],[K]])
)</f>
        <v>#N/A</v>
      </c>
    </row>
    <row r="892" spans="1:18">
      <c r="A892">
        <v>1</v>
      </c>
      <c r="B892" t="s">
        <v>10</v>
      </c>
      <c r="C892" s="1">
        <v>46156</v>
      </c>
      <c r="D892" t="s">
        <v>14</v>
      </c>
      <c r="E892">
        <v>37</v>
      </c>
      <c r="F892" t="s">
        <v>12</v>
      </c>
      <c r="G892" t="s">
        <v>13</v>
      </c>
      <c r="H892" s="1">
        <v>46169</v>
      </c>
      <c r="I892">
        <v>0.13</v>
      </c>
      <c r="J892">
        <v>0</v>
      </c>
      <c r="K892">
        <v>1000</v>
      </c>
      <c r="L892">
        <v>0</v>
      </c>
      <c r="M892">
        <v>47.899518973094601</v>
      </c>
      <c r="N892">
        <v>1.93</v>
      </c>
      <c r="O892">
        <f>(Table1[[#This Row],[P]]&lt;&gt;0)*(Table1[[#This Row],[C]]&lt;&gt;0)</f>
        <v>0</v>
      </c>
      <c r="P892">
        <f>NETWORKDAYS(Table1[[#This Row],[ts_event]],Table1[[#This Row],[option_expiry_date]])</f>
        <v>10</v>
      </c>
      <c r="Q892">
        <f>Table1[[#This Row],[Column2]]/252</f>
        <v>3.968253968253968E-2</v>
      </c>
      <c r="R892" s="2" t="e">
        <f>IF(Table1[[#This Row],[CHECK2]]=0,NA(),
-(1/Table1[[#This Row],[T]])*LN((Table1[[#This Row],[S0]]-Table1[[#This Row],[C]]+Table1[[#This Row],[P]])/Table1[[#This Row],[K]])
)</f>
        <v>#N/A</v>
      </c>
    </row>
    <row r="893" spans="1:18">
      <c r="A893">
        <v>2</v>
      </c>
      <c r="B893" t="s">
        <v>10</v>
      </c>
      <c r="C893" s="1">
        <v>46156</v>
      </c>
      <c r="D893" t="s">
        <v>14</v>
      </c>
      <c r="E893">
        <v>38</v>
      </c>
      <c r="F893" t="s">
        <v>12</v>
      </c>
      <c r="G893" t="s">
        <v>13</v>
      </c>
      <c r="H893" s="1">
        <v>46169</v>
      </c>
      <c r="I893">
        <v>0.2525</v>
      </c>
      <c r="J893">
        <v>0</v>
      </c>
      <c r="K893">
        <v>200</v>
      </c>
      <c r="L893">
        <v>0</v>
      </c>
      <c r="M893">
        <v>47.899518973094601</v>
      </c>
      <c r="N893">
        <v>1.93</v>
      </c>
      <c r="O893">
        <f>(Table1[[#This Row],[P]]&lt;&gt;0)*(Table1[[#This Row],[C]]&lt;&gt;0)</f>
        <v>0</v>
      </c>
      <c r="P893">
        <f>NETWORKDAYS(Table1[[#This Row],[ts_event]],Table1[[#This Row],[option_expiry_date]])</f>
        <v>10</v>
      </c>
      <c r="Q893">
        <f>Table1[[#This Row],[Column2]]/252</f>
        <v>3.968253968253968E-2</v>
      </c>
      <c r="R893" s="2" t="e">
        <f>IF(Table1[[#This Row],[CHECK2]]=0,NA(),
-(1/Table1[[#This Row],[T]])*LN((Table1[[#This Row],[S0]]-Table1[[#This Row],[C]]+Table1[[#This Row],[P]])/Table1[[#This Row],[K]])
)</f>
        <v>#N/A</v>
      </c>
    </row>
    <row r="894" spans="1:18">
      <c r="A894">
        <v>2</v>
      </c>
      <c r="B894" t="s">
        <v>10</v>
      </c>
      <c r="C894" s="1">
        <v>46156</v>
      </c>
      <c r="D894" t="s">
        <v>14</v>
      </c>
      <c r="E894">
        <v>40</v>
      </c>
      <c r="F894" t="s">
        <v>12</v>
      </c>
      <c r="G894" t="s">
        <v>13</v>
      </c>
      <c r="H894" s="1">
        <v>46169</v>
      </c>
      <c r="I894">
        <v>0.35</v>
      </c>
      <c r="J894">
        <v>0</v>
      </c>
      <c r="K894">
        <v>2325</v>
      </c>
      <c r="L894">
        <v>0</v>
      </c>
      <c r="M894">
        <v>47.899518973094601</v>
      </c>
      <c r="N894">
        <v>1.93</v>
      </c>
      <c r="O894">
        <f>(Table1[[#This Row],[P]]&lt;&gt;0)*(Table1[[#This Row],[C]]&lt;&gt;0)</f>
        <v>0</v>
      </c>
      <c r="P894">
        <f>NETWORKDAYS(Table1[[#This Row],[ts_event]],Table1[[#This Row],[option_expiry_date]])</f>
        <v>10</v>
      </c>
      <c r="Q894">
        <f>Table1[[#This Row],[Column2]]/252</f>
        <v>3.968253968253968E-2</v>
      </c>
      <c r="R894" s="2" t="e">
        <f>IF(Table1[[#This Row],[CHECK2]]=0,NA(),
-(1/Table1[[#This Row],[T]])*LN((Table1[[#This Row],[S0]]-Table1[[#This Row],[C]]+Table1[[#This Row],[P]])/Table1[[#This Row],[K]])
)</f>
        <v>#N/A</v>
      </c>
    </row>
    <row r="895" spans="1:18">
      <c r="A895">
        <v>1</v>
      </c>
      <c r="B895" t="s">
        <v>10</v>
      </c>
      <c r="C895" s="1">
        <v>46156</v>
      </c>
      <c r="D895" t="s">
        <v>14</v>
      </c>
      <c r="E895">
        <v>41</v>
      </c>
      <c r="F895" t="s">
        <v>12</v>
      </c>
      <c r="G895" t="s">
        <v>13</v>
      </c>
      <c r="H895" s="1">
        <v>46169</v>
      </c>
      <c r="I895">
        <v>0.48499999999999999</v>
      </c>
      <c r="J895">
        <v>0</v>
      </c>
      <c r="K895">
        <v>300</v>
      </c>
      <c r="L895">
        <v>0</v>
      </c>
      <c r="M895">
        <v>47.899518973094601</v>
      </c>
      <c r="N895">
        <v>1.93</v>
      </c>
      <c r="O895">
        <f>(Table1[[#This Row],[P]]&lt;&gt;0)*(Table1[[#This Row],[C]]&lt;&gt;0)</f>
        <v>0</v>
      </c>
      <c r="P895">
        <f>NETWORKDAYS(Table1[[#This Row],[ts_event]],Table1[[#This Row],[option_expiry_date]])</f>
        <v>10</v>
      </c>
      <c r="Q895">
        <f>Table1[[#This Row],[Column2]]/252</f>
        <v>3.968253968253968E-2</v>
      </c>
      <c r="R895" s="2" t="e">
        <f>IF(Table1[[#This Row],[CHECK2]]=0,NA(),
-(1/Table1[[#This Row],[T]])*LN((Table1[[#This Row],[S0]]-Table1[[#This Row],[C]]+Table1[[#This Row],[P]])/Table1[[#This Row],[K]])
)</f>
        <v>#N/A</v>
      </c>
    </row>
    <row r="896" spans="1:18">
      <c r="A896">
        <v>2</v>
      </c>
      <c r="B896" t="s">
        <v>10</v>
      </c>
      <c r="C896" s="1">
        <v>46156</v>
      </c>
      <c r="D896" t="s">
        <v>14</v>
      </c>
      <c r="E896">
        <v>42</v>
      </c>
      <c r="F896" t="s">
        <v>12</v>
      </c>
      <c r="G896" t="s">
        <v>13</v>
      </c>
      <c r="H896" s="1">
        <v>46169</v>
      </c>
      <c r="I896">
        <v>0.90500000000000003</v>
      </c>
      <c r="J896">
        <v>0</v>
      </c>
      <c r="K896">
        <v>90</v>
      </c>
      <c r="L896">
        <v>0</v>
      </c>
      <c r="M896">
        <v>47.899518973094601</v>
      </c>
      <c r="N896">
        <v>1.93</v>
      </c>
      <c r="O896">
        <f>(Table1[[#This Row],[P]]&lt;&gt;0)*(Table1[[#This Row],[C]]&lt;&gt;0)</f>
        <v>0</v>
      </c>
      <c r="P896">
        <f>NETWORKDAYS(Table1[[#This Row],[ts_event]],Table1[[#This Row],[option_expiry_date]])</f>
        <v>10</v>
      </c>
      <c r="Q896">
        <f>Table1[[#This Row],[Column2]]/252</f>
        <v>3.968253968253968E-2</v>
      </c>
      <c r="R896" s="2" t="e">
        <f>IF(Table1[[#This Row],[CHECK2]]=0,NA(),
-(1/Table1[[#This Row],[T]])*LN((Table1[[#This Row],[S0]]-Table1[[#This Row],[C]]+Table1[[#This Row],[P]])/Table1[[#This Row],[K]])
)</f>
        <v>#N/A</v>
      </c>
    </row>
    <row r="897" spans="1:18">
      <c r="A897">
        <v>1</v>
      </c>
      <c r="B897" t="s">
        <v>10</v>
      </c>
      <c r="C897" s="1">
        <v>46156</v>
      </c>
      <c r="D897" t="s">
        <v>14</v>
      </c>
      <c r="E897">
        <v>43</v>
      </c>
      <c r="F897" t="s">
        <v>12</v>
      </c>
      <c r="G897" t="s">
        <v>13</v>
      </c>
      <c r="H897" s="1">
        <v>46169</v>
      </c>
      <c r="I897">
        <v>0.85</v>
      </c>
      <c r="J897">
        <v>0</v>
      </c>
      <c r="K897">
        <v>350</v>
      </c>
      <c r="L897">
        <v>0</v>
      </c>
      <c r="M897">
        <v>47.899518973094601</v>
      </c>
      <c r="N897">
        <v>1.93</v>
      </c>
      <c r="O897">
        <f>(Table1[[#This Row],[P]]&lt;&gt;0)*(Table1[[#This Row],[C]]&lt;&gt;0)</f>
        <v>0</v>
      </c>
      <c r="P897">
        <f>NETWORKDAYS(Table1[[#This Row],[ts_event]],Table1[[#This Row],[option_expiry_date]])</f>
        <v>10</v>
      </c>
      <c r="Q897">
        <f>Table1[[#This Row],[Column2]]/252</f>
        <v>3.968253968253968E-2</v>
      </c>
      <c r="R897" s="2" t="e">
        <f>IF(Table1[[#This Row],[CHECK2]]=0,NA(),
-(1/Table1[[#This Row],[T]])*LN((Table1[[#This Row],[S0]]-Table1[[#This Row],[C]]+Table1[[#This Row],[P]])/Table1[[#This Row],[K]])
)</f>
        <v>#N/A</v>
      </c>
    </row>
    <row r="898" spans="1:18">
      <c r="A898">
        <v>2</v>
      </c>
      <c r="B898" t="s">
        <v>10</v>
      </c>
      <c r="C898" s="1">
        <v>46156</v>
      </c>
      <c r="D898" t="s">
        <v>14</v>
      </c>
      <c r="E898">
        <v>44</v>
      </c>
      <c r="F898" t="s">
        <v>12</v>
      </c>
      <c r="G898" t="s">
        <v>13</v>
      </c>
      <c r="H898" s="1">
        <v>46169</v>
      </c>
      <c r="I898">
        <v>1.1000000000000001</v>
      </c>
      <c r="J898">
        <v>4.55</v>
      </c>
      <c r="K898">
        <v>290</v>
      </c>
      <c r="L898">
        <v>2000</v>
      </c>
      <c r="M898">
        <v>47.899518973094601</v>
      </c>
      <c r="N898">
        <v>1.93</v>
      </c>
      <c r="O898">
        <f>(Table1[[#This Row],[P]]&lt;&gt;0)*(Table1[[#This Row],[C]]&lt;&gt;0)</f>
        <v>1</v>
      </c>
      <c r="P898">
        <f>NETWORKDAYS(Table1[[#This Row],[ts_event]],Table1[[#This Row],[option_expiry_date]])</f>
        <v>10</v>
      </c>
      <c r="Q898">
        <f>Table1[[#This Row],[Column2]]/252</f>
        <v>3.968253968253968E-2</v>
      </c>
      <c r="R898" s="2">
        <f>IF(Table1[[#This Row],[CHECK2]]=0,NA(),
-(1/Table1[[#This Row],[T]])*LN((Table1[[#This Row],[S0]]-Table1[[#This Row],[C]]+Table1[[#This Row],[P]])/Table1[[#This Row],[K]])
)</f>
        <v>-0.25614555700720476</v>
      </c>
    </row>
    <row r="899" spans="1:18">
      <c r="A899">
        <v>2</v>
      </c>
      <c r="B899" t="s">
        <v>10</v>
      </c>
      <c r="C899" s="1">
        <v>46156</v>
      </c>
      <c r="D899" t="s">
        <v>14</v>
      </c>
      <c r="E899">
        <v>45</v>
      </c>
      <c r="F899" t="s">
        <v>12</v>
      </c>
      <c r="G899" t="s">
        <v>13</v>
      </c>
      <c r="H899" s="1">
        <v>46169</v>
      </c>
      <c r="I899">
        <v>1.5240683229813601</v>
      </c>
      <c r="J899">
        <v>0</v>
      </c>
      <c r="K899">
        <v>1610</v>
      </c>
      <c r="L899">
        <v>0</v>
      </c>
      <c r="M899">
        <v>47.899518973094601</v>
      </c>
      <c r="N899">
        <v>1.93</v>
      </c>
      <c r="O899">
        <f>(Table1[[#This Row],[P]]&lt;&gt;0)*(Table1[[#This Row],[C]]&lt;&gt;0)</f>
        <v>0</v>
      </c>
      <c r="P899">
        <f>NETWORKDAYS(Table1[[#This Row],[ts_event]],Table1[[#This Row],[option_expiry_date]])</f>
        <v>10</v>
      </c>
      <c r="Q899">
        <f>Table1[[#This Row],[Column2]]/252</f>
        <v>3.968253968253968E-2</v>
      </c>
      <c r="R899" s="2" t="e">
        <f>IF(Table1[[#This Row],[CHECK2]]=0,NA(),
-(1/Table1[[#This Row],[T]])*LN((Table1[[#This Row],[S0]]-Table1[[#This Row],[C]]+Table1[[#This Row],[P]])/Table1[[#This Row],[K]])
)</f>
        <v>#N/A</v>
      </c>
    </row>
    <row r="900" spans="1:18">
      <c r="A900">
        <v>2</v>
      </c>
      <c r="B900" t="s">
        <v>10</v>
      </c>
      <c r="C900" s="1">
        <v>46156</v>
      </c>
      <c r="D900" t="s">
        <v>14</v>
      </c>
      <c r="E900">
        <v>46</v>
      </c>
      <c r="F900" t="s">
        <v>12</v>
      </c>
      <c r="G900" t="s">
        <v>13</v>
      </c>
      <c r="H900" s="1">
        <v>46169</v>
      </c>
      <c r="I900">
        <v>2.1981012658227801</v>
      </c>
      <c r="J900">
        <v>0</v>
      </c>
      <c r="K900">
        <v>395</v>
      </c>
      <c r="L900">
        <v>0</v>
      </c>
      <c r="M900">
        <v>47.899518973094601</v>
      </c>
      <c r="N900">
        <v>1.93</v>
      </c>
      <c r="O900">
        <f>(Table1[[#This Row],[P]]&lt;&gt;0)*(Table1[[#This Row],[C]]&lt;&gt;0)</f>
        <v>0</v>
      </c>
      <c r="P900">
        <f>NETWORKDAYS(Table1[[#This Row],[ts_event]],Table1[[#This Row],[option_expiry_date]])</f>
        <v>10</v>
      </c>
      <c r="Q900">
        <f>Table1[[#This Row],[Column2]]/252</f>
        <v>3.968253968253968E-2</v>
      </c>
      <c r="R900" s="2" t="e">
        <f>IF(Table1[[#This Row],[CHECK2]]=0,NA(),
-(1/Table1[[#This Row],[T]])*LN((Table1[[#This Row],[S0]]-Table1[[#This Row],[C]]+Table1[[#This Row],[P]])/Table1[[#This Row],[K]])
)</f>
        <v>#N/A</v>
      </c>
    </row>
    <row r="901" spans="1:18">
      <c r="A901">
        <v>4</v>
      </c>
      <c r="B901" t="s">
        <v>10</v>
      </c>
      <c r="C901" s="1">
        <v>46156</v>
      </c>
      <c r="D901" t="s">
        <v>14</v>
      </c>
      <c r="E901">
        <v>47</v>
      </c>
      <c r="F901" t="s">
        <v>12</v>
      </c>
      <c r="G901" t="s">
        <v>13</v>
      </c>
      <c r="H901" s="1">
        <v>46169</v>
      </c>
      <c r="I901">
        <v>2.8511538461538399</v>
      </c>
      <c r="J901">
        <v>3.00025167785234</v>
      </c>
      <c r="K901">
        <v>780</v>
      </c>
      <c r="L901">
        <v>2980</v>
      </c>
      <c r="M901">
        <v>47.899518973094601</v>
      </c>
      <c r="N901">
        <v>1.93</v>
      </c>
      <c r="O901">
        <f>(Table1[[#This Row],[P]]&lt;&gt;0)*(Table1[[#This Row],[C]]&lt;&gt;0)</f>
        <v>1</v>
      </c>
      <c r="P901">
        <f>NETWORKDAYS(Table1[[#This Row],[ts_event]],Table1[[#This Row],[option_expiry_date]])</f>
        <v>10</v>
      </c>
      <c r="Q901">
        <f>Table1[[#This Row],[Column2]]/252</f>
        <v>3.968253968253968E-2</v>
      </c>
      <c r="R901" s="2">
        <f>IF(Table1[[#This Row],[CHECK2]]=0,NA(),
-(1/Table1[[#This Row],[T]])*LN((Table1[[#This Row],[S0]]-Table1[[#This Row],[C]]+Table1[[#This Row],[P]])/Table1[[#This Row],[K]])
)</f>
        <v>-0.39917517930079888</v>
      </c>
    </row>
    <row r="902" spans="1:18">
      <c r="A902">
        <v>4</v>
      </c>
      <c r="B902" t="s">
        <v>10</v>
      </c>
      <c r="C902" s="1">
        <v>46156</v>
      </c>
      <c r="D902" t="s">
        <v>14</v>
      </c>
      <c r="E902">
        <v>48</v>
      </c>
      <c r="F902" t="s">
        <v>12</v>
      </c>
      <c r="G902" t="s">
        <v>13</v>
      </c>
      <c r="H902" s="1">
        <v>46169</v>
      </c>
      <c r="I902">
        <v>3.0529999999999999</v>
      </c>
      <c r="J902">
        <v>2.6485714285714201</v>
      </c>
      <c r="K902">
        <v>250</v>
      </c>
      <c r="L902">
        <v>350</v>
      </c>
      <c r="M902">
        <v>47.899518973094601</v>
      </c>
      <c r="N902">
        <v>1.93</v>
      </c>
      <c r="O902">
        <f>(Table1[[#This Row],[P]]&lt;&gt;0)*(Table1[[#This Row],[C]]&lt;&gt;0)</f>
        <v>1</v>
      </c>
      <c r="P902">
        <f>NETWORKDAYS(Table1[[#This Row],[ts_event]],Table1[[#This Row],[option_expiry_date]])</f>
        <v>10</v>
      </c>
      <c r="Q902">
        <f>Table1[[#This Row],[Column2]]/252</f>
        <v>3.968253968253968E-2</v>
      </c>
      <c r="R902" s="2">
        <f>IF(Table1[[#This Row],[CHECK2]]=0,NA(),
-(1/Table1[[#This Row],[T]])*LN((Table1[[#This Row],[S0]]-Table1[[#This Row],[C]]+Table1[[#This Row],[P]])/Table1[[#This Row],[K]])
)</f>
        <v>-0.15906935800271393</v>
      </c>
    </row>
    <row r="903" spans="1:18">
      <c r="A903">
        <v>2</v>
      </c>
      <c r="B903" t="s">
        <v>10</v>
      </c>
      <c r="C903" s="1">
        <v>46156</v>
      </c>
      <c r="D903" t="s">
        <v>14</v>
      </c>
      <c r="E903">
        <v>49</v>
      </c>
      <c r="F903" t="s">
        <v>12</v>
      </c>
      <c r="G903" t="s">
        <v>13</v>
      </c>
      <c r="H903" s="1">
        <v>46169</v>
      </c>
      <c r="I903">
        <v>0</v>
      </c>
      <c r="J903">
        <v>2.2483950617283899</v>
      </c>
      <c r="K903">
        <v>0</v>
      </c>
      <c r="L903">
        <v>4050</v>
      </c>
      <c r="M903">
        <v>47.899518973094601</v>
      </c>
      <c r="N903">
        <v>1.93</v>
      </c>
      <c r="O903">
        <f>(Table1[[#This Row],[P]]&lt;&gt;0)*(Table1[[#This Row],[C]]&lt;&gt;0)</f>
        <v>0</v>
      </c>
      <c r="P903">
        <f>NETWORKDAYS(Table1[[#This Row],[ts_event]],Table1[[#This Row],[option_expiry_date]])</f>
        <v>10</v>
      </c>
      <c r="Q903">
        <f>Table1[[#This Row],[Column2]]/252</f>
        <v>3.968253968253968E-2</v>
      </c>
      <c r="R903" s="2" t="e">
        <f>IF(Table1[[#This Row],[CHECK2]]=0,NA(),
-(1/Table1[[#This Row],[T]])*LN((Table1[[#This Row],[S0]]-Table1[[#This Row],[C]]+Table1[[#This Row],[P]])/Table1[[#This Row],[K]])
)</f>
        <v>#N/A</v>
      </c>
    </row>
    <row r="904" spans="1:18">
      <c r="A904">
        <v>2</v>
      </c>
      <c r="B904" t="s">
        <v>10</v>
      </c>
      <c r="C904" s="1">
        <v>46156</v>
      </c>
      <c r="D904" t="s">
        <v>14</v>
      </c>
      <c r="E904">
        <v>50</v>
      </c>
      <c r="F904" t="s">
        <v>12</v>
      </c>
      <c r="G904" t="s">
        <v>13</v>
      </c>
      <c r="H904" s="1">
        <v>46169</v>
      </c>
      <c r="I904">
        <v>0</v>
      </c>
      <c r="J904">
        <v>2.0469565217391299</v>
      </c>
      <c r="K904">
        <v>0</v>
      </c>
      <c r="L904">
        <v>575</v>
      </c>
      <c r="M904">
        <v>47.899518973094601</v>
      </c>
      <c r="N904">
        <v>1.93</v>
      </c>
      <c r="O904">
        <f>(Table1[[#This Row],[P]]&lt;&gt;0)*(Table1[[#This Row],[C]]&lt;&gt;0)</f>
        <v>0</v>
      </c>
      <c r="P904">
        <f>NETWORKDAYS(Table1[[#This Row],[ts_event]],Table1[[#This Row],[option_expiry_date]])</f>
        <v>10</v>
      </c>
      <c r="Q904">
        <f>Table1[[#This Row],[Column2]]/252</f>
        <v>3.968253968253968E-2</v>
      </c>
      <c r="R904" s="2" t="e">
        <f>IF(Table1[[#This Row],[CHECK2]]=0,NA(),
-(1/Table1[[#This Row],[T]])*LN((Table1[[#This Row],[S0]]-Table1[[#This Row],[C]]+Table1[[#This Row],[P]])/Table1[[#This Row],[K]])
)</f>
        <v>#N/A</v>
      </c>
    </row>
    <row r="905" spans="1:18">
      <c r="A905">
        <v>1</v>
      </c>
      <c r="B905" t="s">
        <v>10</v>
      </c>
      <c r="C905" s="1">
        <v>46156</v>
      </c>
      <c r="D905" t="s">
        <v>14</v>
      </c>
      <c r="E905">
        <v>51</v>
      </c>
      <c r="F905" t="s">
        <v>12</v>
      </c>
      <c r="G905" t="s">
        <v>13</v>
      </c>
      <c r="H905" s="1">
        <v>46169</v>
      </c>
      <c r="I905">
        <v>0</v>
      </c>
      <c r="J905">
        <v>1.85</v>
      </c>
      <c r="K905">
        <v>0</v>
      </c>
      <c r="L905">
        <v>25</v>
      </c>
      <c r="M905">
        <v>47.899518973094601</v>
      </c>
      <c r="N905">
        <v>1.93</v>
      </c>
      <c r="O905">
        <f>(Table1[[#This Row],[P]]&lt;&gt;0)*(Table1[[#This Row],[C]]&lt;&gt;0)</f>
        <v>0</v>
      </c>
      <c r="P905">
        <f>NETWORKDAYS(Table1[[#This Row],[ts_event]],Table1[[#This Row],[option_expiry_date]])</f>
        <v>10</v>
      </c>
      <c r="Q905">
        <f>Table1[[#This Row],[Column2]]/252</f>
        <v>3.968253968253968E-2</v>
      </c>
      <c r="R905" s="2" t="e">
        <f>IF(Table1[[#This Row],[CHECK2]]=0,NA(),
-(1/Table1[[#This Row],[T]])*LN((Table1[[#This Row],[S0]]-Table1[[#This Row],[C]]+Table1[[#This Row],[P]])/Table1[[#This Row],[K]])
)</f>
        <v>#N/A</v>
      </c>
    </row>
    <row r="906" spans="1:18">
      <c r="A906">
        <v>1</v>
      </c>
      <c r="B906" t="s">
        <v>10</v>
      </c>
      <c r="C906" s="1">
        <v>46156</v>
      </c>
      <c r="D906" t="s">
        <v>14</v>
      </c>
      <c r="E906">
        <v>52</v>
      </c>
      <c r="F906" t="s">
        <v>12</v>
      </c>
      <c r="G906" t="s">
        <v>13</v>
      </c>
      <c r="H906" s="1">
        <v>46169</v>
      </c>
      <c r="I906">
        <v>0</v>
      </c>
      <c r="J906">
        <v>1.5</v>
      </c>
      <c r="K906">
        <v>0</v>
      </c>
      <c r="L906">
        <v>5750</v>
      </c>
      <c r="M906">
        <v>47.899518973094601</v>
      </c>
      <c r="N906">
        <v>1.93</v>
      </c>
      <c r="O906">
        <f>(Table1[[#This Row],[P]]&lt;&gt;0)*(Table1[[#This Row],[C]]&lt;&gt;0)</f>
        <v>0</v>
      </c>
      <c r="P906">
        <f>NETWORKDAYS(Table1[[#This Row],[ts_event]],Table1[[#This Row],[option_expiry_date]])</f>
        <v>10</v>
      </c>
      <c r="Q906">
        <f>Table1[[#This Row],[Column2]]/252</f>
        <v>3.968253968253968E-2</v>
      </c>
      <c r="R906" s="2" t="e">
        <f>IF(Table1[[#This Row],[CHECK2]]=0,NA(),
-(1/Table1[[#This Row],[T]])*LN((Table1[[#This Row],[S0]]-Table1[[#This Row],[C]]+Table1[[#This Row],[P]])/Table1[[#This Row],[K]])
)</f>
        <v>#N/A</v>
      </c>
    </row>
    <row r="907" spans="1:18">
      <c r="A907">
        <v>1</v>
      </c>
      <c r="B907" t="s">
        <v>10</v>
      </c>
      <c r="C907" s="1">
        <v>46156</v>
      </c>
      <c r="D907" t="s">
        <v>14</v>
      </c>
      <c r="E907">
        <v>54</v>
      </c>
      <c r="F907" t="s">
        <v>12</v>
      </c>
      <c r="G907" t="s">
        <v>13</v>
      </c>
      <c r="H907" s="1">
        <v>46169</v>
      </c>
      <c r="I907">
        <v>0</v>
      </c>
      <c r="J907">
        <v>1.21</v>
      </c>
      <c r="K907">
        <v>0</v>
      </c>
      <c r="L907">
        <v>25</v>
      </c>
      <c r="M907">
        <v>47.899518973094601</v>
      </c>
      <c r="N907">
        <v>1.93</v>
      </c>
      <c r="O907">
        <f>(Table1[[#This Row],[P]]&lt;&gt;0)*(Table1[[#This Row],[C]]&lt;&gt;0)</f>
        <v>0</v>
      </c>
      <c r="P907">
        <f>NETWORKDAYS(Table1[[#This Row],[ts_event]],Table1[[#This Row],[option_expiry_date]])</f>
        <v>10</v>
      </c>
      <c r="Q907">
        <f>Table1[[#This Row],[Column2]]/252</f>
        <v>3.968253968253968E-2</v>
      </c>
      <c r="R907" s="2" t="e">
        <f>IF(Table1[[#This Row],[CHECK2]]=0,NA(),
-(1/Table1[[#This Row],[T]])*LN((Table1[[#This Row],[S0]]-Table1[[#This Row],[C]]+Table1[[#This Row],[P]])/Table1[[#This Row],[K]])
)</f>
        <v>#N/A</v>
      </c>
    </row>
    <row r="908" spans="1:18">
      <c r="A908">
        <v>2</v>
      </c>
      <c r="B908" t="s">
        <v>10</v>
      </c>
      <c r="C908" s="1">
        <v>46156</v>
      </c>
      <c r="D908" t="s">
        <v>14</v>
      </c>
      <c r="E908">
        <v>55</v>
      </c>
      <c r="F908" t="s">
        <v>12</v>
      </c>
      <c r="G908" t="s">
        <v>13</v>
      </c>
      <c r="H908" s="1">
        <v>46169</v>
      </c>
      <c r="I908">
        <v>0</v>
      </c>
      <c r="J908">
        <v>1.0158490566037699</v>
      </c>
      <c r="K908">
        <v>0</v>
      </c>
      <c r="L908">
        <v>1325</v>
      </c>
      <c r="M908">
        <v>47.899518973094601</v>
      </c>
      <c r="N908">
        <v>1.93</v>
      </c>
      <c r="O908">
        <f>(Table1[[#This Row],[P]]&lt;&gt;0)*(Table1[[#This Row],[C]]&lt;&gt;0)</f>
        <v>0</v>
      </c>
      <c r="P908">
        <f>NETWORKDAYS(Table1[[#This Row],[ts_event]],Table1[[#This Row],[option_expiry_date]])</f>
        <v>10</v>
      </c>
      <c r="Q908">
        <f>Table1[[#This Row],[Column2]]/252</f>
        <v>3.968253968253968E-2</v>
      </c>
      <c r="R908" s="2" t="e">
        <f>IF(Table1[[#This Row],[CHECK2]]=0,NA(),
-(1/Table1[[#This Row],[T]])*LN((Table1[[#This Row],[S0]]-Table1[[#This Row],[C]]+Table1[[#This Row],[P]])/Table1[[#This Row],[K]])
)</f>
        <v>#N/A</v>
      </c>
    </row>
    <row r="909" spans="1:18">
      <c r="A909">
        <v>1</v>
      </c>
      <c r="B909" t="s">
        <v>10</v>
      </c>
      <c r="C909" s="1">
        <v>46156</v>
      </c>
      <c r="D909" t="s">
        <v>14</v>
      </c>
      <c r="E909">
        <v>57</v>
      </c>
      <c r="F909" t="s">
        <v>12</v>
      </c>
      <c r="G909" t="s">
        <v>13</v>
      </c>
      <c r="H909" s="1">
        <v>46169</v>
      </c>
      <c r="I909">
        <v>0</v>
      </c>
      <c r="J909">
        <v>0.9</v>
      </c>
      <c r="K909">
        <v>0</v>
      </c>
      <c r="L909">
        <v>1000</v>
      </c>
      <c r="M909">
        <v>47.899518973094601</v>
      </c>
      <c r="N909">
        <v>1.93</v>
      </c>
      <c r="O909">
        <f>(Table1[[#This Row],[P]]&lt;&gt;0)*(Table1[[#This Row],[C]]&lt;&gt;0)</f>
        <v>0</v>
      </c>
      <c r="P909">
        <f>NETWORKDAYS(Table1[[#This Row],[ts_event]],Table1[[#This Row],[option_expiry_date]])</f>
        <v>10</v>
      </c>
      <c r="Q909">
        <f>Table1[[#This Row],[Column2]]/252</f>
        <v>3.968253968253968E-2</v>
      </c>
      <c r="R909" s="2" t="e">
        <f>IF(Table1[[#This Row],[CHECK2]]=0,NA(),
-(1/Table1[[#This Row],[T]])*LN((Table1[[#This Row],[S0]]-Table1[[#This Row],[C]]+Table1[[#This Row],[P]])/Table1[[#This Row],[K]])
)</f>
        <v>#N/A</v>
      </c>
    </row>
    <row r="910" spans="1:18">
      <c r="A910">
        <v>1</v>
      </c>
      <c r="B910" t="s">
        <v>10</v>
      </c>
      <c r="C910" s="1">
        <v>46156</v>
      </c>
      <c r="D910" t="s">
        <v>14</v>
      </c>
      <c r="E910">
        <v>60</v>
      </c>
      <c r="F910" t="s">
        <v>12</v>
      </c>
      <c r="G910" t="s">
        <v>13</v>
      </c>
      <c r="H910" s="1">
        <v>46169</v>
      </c>
      <c r="I910">
        <v>0</v>
      </c>
      <c r="J910">
        <v>0.6</v>
      </c>
      <c r="K910">
        <v>0</v>
      </c>
      <c r="L910">
        <v>900</v>
      </c>
      <c r="M910">
        <v>47.899518973094601</v>
      </c>
      <c r="N910">
        <v>1.93</v>
      </c>
      <c r="O910">
        <f>(Table1[[#This Row],[P]]&lt;&gt;0)*(Table1[[#This Row],[C]]&lt;&gt;0)</f>
        <v>0</v>
      </c>
      <c r="P910">
        <f>NETWORKDAYS(Table1[[#This Row],[ts_event]],Table1[[#This Row],[option_expiry_date]])</f>
        <v>10</v>
      </c>
      <c r="Q910">
        <f>Table1[[#This Row],[Column2]]/252</f>
        <v>3.968253968253968E-2</v>
      </c>
      <c r="R910" s="2" t="e">
        <f>IF(Table1[[#This Row],[CHECK2]]=0,NA(),
-(1/Table1[[#This Row],[T]])*LN((Table1[[#This Row],[S0]]-Table1[[#This Row],[C]]+Table1[[#This Row],[P]])/Table1[[#This Row],[K]])
)</f>
        <v>#N/A</v>
      </c>
    </row>
    <row r="911" spans="1:18">
      <c r="A911">
        <v>1</v>
      </c>
      <c r="B911" t="s">
        <v>10</v>
      </c>
      <c r="C911" s="1">
        <v>46156</v>
      </c>
      <c r="D911" t="s">
        <v>14</v>
      </c>
      <c r="E911">
        <v>62</v>
      </c>
      <c r="F911" t="s">
        <v>12</v>
      </c>
      <c r="G911" t="s">
        <v>13</v>
      </c>
      <c r="H911" s="1">
        <v>46169</v>
      </c>
      <c r="I911">
        <v>0</v>
      </c>
      <c r="J911">
        <v>0.435</v>
      </c>
      <c r="K911">
        <v>0</v>
      </c>
      <c r="L911">
        <v>100</v>
      </c>
      <c r="M911">
        <v>47.899518973094601</v>
      </c>
      <c r="N911">
        <v>1.93</v>
      </c>
      <c r="O911">
        <f>(Table1[[#This Row],[P]]&lt;&gt;0)*(Table1[[#This Row],[C]]&lt;&gt;0)</f>
        <v>0</v>
      </c>
      <c r="P911">
        <f>NETWORKDAYS(Table1[[#This Row],[ts_event]],Table1[[#This Row],[option_expiry_date]])</f>
        <v>10</v>
      </c>
      <c r="Q911">
        <f>Table1[[#This Row],[Column2]]/252</f>
        <v>3.968253968253968E-2</v>
      </c>
      <c r="R911" s="2" t="e">
        <f>IF(Table1[[#This Row],[CHECK2]]=0,NA(),
-(1/Table1[[#This Row],[T]])*LN((Table1[[#This Row],[S0]]-Table1[[#This Row],[C]]+Table1[[#This Row],[P]])/Table1[[#This Row],[K]])
)</f>
        <v>#N/A</v>
      </c>
    </row>
    <row r="912" spans="1:18">
      <c r="A912">
        <v>1</v>
      </c>
      <c r="B912" t="s">
        <v>10</v>
      </c>
      <c r="C912" s="1">
        <v>46156</v>
      </c>
      <c r="D912" t="s">
        <v>14</v>
      </c>
      <c r="E912">
        <v>65</v>
      </c>
      <c r="F912" t="s">
        <v>12</v>
      </c>
      <c r="G912" t="s">
        <v>13</v>
      </c>
      <c r="H912" s="1">
        <v>46169</v>
      </c>
      <c r="I912">
        <v>0</v>
      </c>
      <c r="J912">
        <v>0.35</v>
      </c>
      <c r="K912">
        <v>0</v>
      </c>
      <c r="L912">
        <v>125</v>
      </c>
      <c r="M912">
        <v>47.899518973094601</v>
      </c>
      <c r="N912">
        <v>1.93</v>
      </c>
      <c r="O912">
        <f>(Table1[[#This Row],[P]]&lt;&gt;0)*(Table1[[#This Row],[C]]&lt;&gt;0)</f>
        <v>0</v>
      </c>
      <c r="P912">
        <f>NETWORKDAYS(Table1[[#This Row],[ts_event]],Table1[[#This Row],[option_expiry_date]])</f>
        <v>10</v>
      </c>
      <c r="Q912">
        <f>Table1[[#This Row],[Column2]]/252</f>
        <v>3.968253968253968E-2</v>
      </c>
      <c r="R912" s="2" t="e">
        <f>IF(Table1[[#This Row],[CHECK2]]=0,NA(),
-(1/Table1[[#This Row],[T]])*LN((Table1[[#This Row],[S0]]-Table1[[#This Row],[C]]+Table1[[#This Row],[P]])/Table1[[#This Row],[K]])
)</f>
        <v>#N/A</v>
      </c>
    </row>
    <row r="913" spans="1:18">
      <c r="A913">
        <v>2</v>
      </c>
      <c r="B913" t="s">
        <v>10</v>
      </c>
      <c r="C913" s="1">
        <v>46156</v>
      </c>
      <c r="D913" t="s">
        <v>14</v>
      </c>
      <c r="E913">
        <v>70</v>
      </c>
      <c r="F913" t="s">
        <v>12</v>
      </c>
      <c r="G913" t="s">
        <v>13</v>
      </c>
      <c r="H913" s="1">
        <v>46169</v>
      </c>
      <c r="I913">
        <v>0</v>
      </c>
      <c r="J913">
        <v>0.25638554216867399</v>
      </c>
      <c r="K913">
        <v>0</v>
      </c>
      <c r="L913">
        <v>830</v>
      </c>
      <c r="M913">
        <v>47.899518973094601</v>
      </c>
      <c r="N913">
        <v>1.93</v>
      </c>
      <c r="O913">
        <f>(Table1[[#This Row],[P]]&lt;&gt;0)*(Table1[[#This Row],[C]]&lt;&gt;0)</f>
        <v>0</v>
      </c>
      <c r="P913">
        <f>NETWORKDAYS(Table1[[#This Row],[ts_event]],Table1[[#This Row],[option_expiry_date]])</f>
        <v>10</v>
      </c>
      <c r="Q913">
        <f>Table1[[#This Row],[Column2]]/252</f>
        <v>3.968253968253968E-2</v>
      </c>
      <c r="R913" s="2" t="e">
        <f>IF(Table1[[#This Row],[CHECK2]]=0,NA(),
-(1/Table1[[#This Row],[T]])*LN((Table1[[#This Row],[S0]]-Table1[[#This Row],[C]]+Table1[[#This Row],[P]])/Table1[[#This Row],[K]])
)</f>
        <v>#N/A</v>
      </c>
    </row>
    <row r="914" spans="1:18">
      <c r="A914">
        <v>1</v>
      </c>
      <c r="B914" t="s">
        <v>10</v>
      </c>
      <c r="C914" s="1">
        <v>46156</v>
      </c>
      <c r="D914" t="s">
        <v>14</v>
      </c>
      <c r="E914">
        <v>75</v>
      </c>
      <c r="F914" t="s">
        <v>12</v>
      </c>
      <c r="G914" t="s">
        <v>13</v>
      </c>
      <c r="H914" s="1">
        <v>46169</v>
      </c>
      <c r="I914">
        <v>0</v>
      </c>
      <c r="J914">
        <v>0.215</v>
      </c>
      <c r="K914">
        <v>0</v>
      </c>
      <c r="L914">
        <v>100</v>
      </c>
      <c r="M914">
        <v>47.899518973094601</v>
      </c>
      <c r="N914">
        <v>1.93</v>
      </c>
      <c r="O914">
        <f>(Table1[[#This Row],[P]]&lt;&gt;0)*(Table1[[#This Row],[C]]&lt;&gt;0)</f>
        <v>0</v>
      </c>
      <c r="P914">
        <f>NETWORKDAYS(Table1[[#This Row],[ts_event]],Table1[[#This Row],[option_expiry_date]])</f>
        <v>10</v>
      </c>
      <c r="Q914">
        <f>Table1[[#This Row],[Column2]]/252</f>
        <v>3.968253968253968E-2</v>
      </c>
      <c r="R914" s="2" t="e">
        <f>IF(Table1[[#This Row],[CHECK2]]=0,NA(),
-(1/Table1[[#This Row],[T]])*LN((Table1[[#This Row],[S0]]-Table1[[#This Row],[C]]+Table1[[#This Row],[P]])/Table1[[#This Row],[K]])
)</f>
        <v>#N/A</v>
      </c>
    </row>
    <row r="915" spans="1:18">
      <c r="A915">
        <v>1</v>
      </c>
      <c r="B915" t="s">
        <v>10</v>
      </c>
      <c r="C915" s="1">
        <v>46156</v>
      </c>
      <c r="D915" t="s">
        <v>14</v>
      </c>
      <c r="E915">
        <v>85</v>
      </c>
      <c r="F915" t="s">
        <v>12</v>
      </c>
      <c r="G915" t="s">
        <v>13</v>
      </c>
      <c r="H915" s="1">
        <v>46169</v>
      </c>
      <c r="I915">
        <v>0</v>
      </c>
      <c r="J915">
        <v>0.115</v>
      </c>
      <c r="K915">
        <v>0</v>
      </c>
      <c r="L915">
        <v>100</v>
      </c>
      <c r="M915">
        <v>47.899518973094601</v>
      </c>
      <c r="N915">
        <v>1.93</v>
      </c>
      <c r="O915">
        <f>(Table1[[#This Row],[P]]&lt;&gt;0)*(Table1[[#This Row],[C]]&lt;&gt;0)</f>
        <v>0</v>
      </c>
      <c r="P915">
        <f>NETWORKDAYS(Table1[[#This Row],[ts_event]],Table1[[#This Row],[option_expiry_date]])</f>
        <v>10</v>
      </c>
      <c r="Q915">
        <f>Table1[[#This Row],[Column2]]/252</f>
        <v>3.968253968253968E-2</v>
      </c>
      <c r="R915" s="2" t="e">
        <f>IF(Table1[[#This Row],[CHECK2]]=0,NA(),
-(1/Table1[[#This Row],[T]])*LN((Table1[[#This Row],[S0]]-Table1[[#This Row],[C]]+Table1[[#This Row],[P]])/Table1[[#This Row],[K]])
)</f>
        <v>#N/A</v>
      </c>
    </row>
    <row r="916" spans="1:18">
      <c r="A916">
        <v>1</v>
      </c>
      <c r="B916" t="s">
        <v>10</v>
      </c>
      <c r="C916" s="1">
        <v>46156</v>
      </c>
      <c r="D916" t="s">
        <v>14</v>
      </c>
      <c r="E916">
        <v>95</v>
      </c>
      <c r="F916" t="s">
        <v>12</v>
      </c>
      <c r="G916" t="s">
        <v>13</v>
      </c>
      <c r="H916" s="1">
        <v>46169</v>
      </c>
      <c r="I916">
        <v>0</v>
      </c>
      <c r="J916">
        <v>6.5000000000000002E-2</v>
      </c>
      <c r="K916">
        <v>0</v>
      </c>
      <c r="L916">
        <v>100</v>
      </c>
      <c r="M916">
        <v>47.899518973094601</v>
      </c>
      <c r="N916">
        <v>1.93</v>
      </c>
      <c r="O916">
        <f>(Table1[[#This Row],[P]]&lt;&gt;0)*(Table1[[#This Row],[C]]&lt;&gt;0)</f>
        <v>0</v>
      </c>
      <c r="P916">
        <f>NETWORKDAYS(Table1[[#This Row],[ts_event]],Table1[[#This Row],[option_expiry_date]])</f>
        <v>10</v>
      </c>
      <c r="Q916">
        <f>Table1[[#This Row],[Column2]]/252</f>
        <v>3.968253968253968E-2</v>
      </c>
      <c r="R916" s="2" t="e">
        <f>IF(Table1[[#This Row],[CHECK2]]=0,NA(),
-(1/Table1[[#This Row],[T]])*LN((Table1[[#This Row],[S0]]-Table1[[#This Row],[C]]+Table1[[#This Row],[P]])/Table1[[#This Row],[K]])
)</f>
        <v>#N/A</v>
      </c>
    </row>
    <row r="917" spans="1:18">
      <c r="A917">
        <v>1</v>
      </c>
      <c r="B917" t="s">
        <v>10</v>
      </c>
      <c r="C917" s="1">
        <v>46156</v>
      </c>
      <c r="D917" t="s">
        <v>15</v>
      </c>
      <c r="E917">
        <v>36</v>
      </c>
      <c r="F917" t="s">
        <v>12</v>
      </c>
      <c r="G917" t="s">
        <v>13</v>
      </c>
      <c r="H917" s="1">
        <v>46199</v>
      </c>
      <c r="I917">
        <v>0.62</v>
      </c>
      <c r="J917">
        <v>0</v>
      </c>
      <c r="K917">
        <v>900</v>
      </c>
      <c r="L917">
        <v>0</v>
      </c>
      <c r="M917">
        <v>47.904765814885302</v>
      </c>
      <c r="N917">
        <v>1.93</v>
      </c>
      <c r="O917">
        <f>(Table1[[#This Row],[P]]&lt;&gt;0)*(Table1[[#This Row],[C]]&lt;&gt;0)</f>
        <v>0</v>
      </c>
      <c r="P917">
        <f>NETWORKDAYS(Table1[[#This Row],[ts_event]],Table1[[#This Row],[option_expiry_date]])</f>
        <v>32</v>
      </c>
      <c r="Q917">
        <f>Table1[[#This Row],[Column2]]/252</f>
        <v>0.12698412698412698</v>
      </c>
      <c r="R917" s="2" t="e">
        <f>IF(Table1[[#This Row],[CHECK2]]=0,NA(),
-(1/Table1[[#This Row],[T]])*LN((Table1[[#This Row],[S0]]-Table1[[#This Row],[C]]+Table1[[#This Row],[P]])/Table1[[#This Row],[K]])
)</f>
        <v>#N/A</v>
      </c>
    </row>
    <row r="918" spans="1:18">
      <c r="A918">
        <v>1</v>
      </c>
      <c r="B918" t="s">
        <v>10</v>
      </c>
      <c r="C918" s="1">
        <v>46156</v>
      </c>
      <c r="D918" t="s">
        <v>15</v>
      </c>
      <c r="E918">
        <v>37</v>
      </c>
      <c r="F918" t="s">
        <v>12</v>
      </c>
      <c r="G918" t="s">
        <v>13</v>
      </c>
      <c r="H918" s="1">
        <v>46199</v>
      </c>
      <c r="I918">
        <v>0.66</v>
      </c>
      <c r="J918">
        <v>0</v>
      </c>
      <c r="K918">
        <v>900</v>
      </c>
      <c r="L918">
        <v>0</v>
      </c>
      <c r="M918">
        <v>47.904765814885302</v>
      </c>
      <c r="N918">
        <v>1.93</v>
      </c>
      <c r="O918">
        <f>(Table1[[#This Row],[P]]&lt;&gt;0)*(Table1[[#This Row],[C]]&lt;&gt;0)</f>
        <v>0</v>
      </c>
      <c r="P918">
        <f>NETWORKDAYS(Table1[[#This Row],[ts_event]],Table1[[#This Row],[option_expiry_date]])</f>
        <v>32</v>
      </c>
      <c r="Q918">
        <f>Table1[[#This Row],[Column2]]/252</f>
        <v>0.12698412698412698</v>
      </c>
      <c r="R918" s="2" t="e">
        <f>IF(Table1[[#This Row],[CHECK2]]=0,NA(),
-(1/Table1[[#This Row],[T]])*LN((Table1[[#This Row],[S0]]-Table1[[#This Row],[C]]+Table1[[#This Row],[P]])/Table1[[#This Row],[K]])
)</f>
        <v>#N/A</v>
      </c>
    </row>
    <row r="919" spans="1:18">
      <c r="A919">
        <v>1</v>
      </c>
      <c r="B919" t="s">
        <v>10</v>
      </c>
      <c r="C919" s="1">
        <v>46156</v>
      </c>
      <c r="D919" t="s">
        <v>15</v>
      </c>
      <c r="E919">
        <v>39</v>
      </c>
      <c r="F919" t="s">
        <v>12</v>
      </c>
      <c r="G919" t="s">
        <v>13</v>
      </c>
      <c r="H919" s="1">
        <v>46199</v>
      </c>
      <c r="I919">
        <v>1.32</v>
      </c>
      <c r="J919">
        <v>0</v>
      </c>
      <c r="K919">
        <v>450</v>
      </c>
      <c r="L919">
        <v>0</v>
      </c>
      <c r="M919">
        <v>47.904765814885302</v>
      </c>
      <c r="N919">
        <v>1.93</v>
      </c>
      <c r="O919">
        <f>(Table1[[#This Row],[P]]&lt;&gt;0)*(Table1[[#This Row],[C]]&lt;&gt;0)</f>
        <v>0</v>
      </c>
      <c r="P919">
        <f>NETWORKDAYS(Table1[[#This Row],[ts_event]],Table1[[#This Row],[option_expiry_date]])</f>
        <v>32</v>
      </c>
      <c r="Q919">
        <f>Table1[[#This Row],[Column2]]/252</f>
        <v>0.12698412698412698</v>
      </c>
      <c r="R919" s="2" t="e">
        <f>IF(Table1[[#This Row],[CHECK2]]=0,NA(),
-(1/Table1[[#This Row],[T]])*LN((Table1[[#This Row],[S0]]-Table1[[#This Row],[C]]+Table1[[#This Row],[P]])/Table1[[#This Row],[K]])
)</f>
        <v>#N/A</v>
      </c>
    </row>
    <row r="920" spans="1:18">
      <c r="A920">
        <v>1</v>
      </c>
      <c r="B920" t="s">
        <v>10</v>
      </c>
      <c r="C920" s="1">
        <v>46156</v>
      </c>
      <c r="D920" t="s">
        <v>15</v>
      </c>
      <c r="E920">
        <v>40</v>
      </c>
      <c r="F920" t="s">
        <v>12</v>
      </c>
      <c r="G920" t="s">
        <v>13</v>
      </c>
      <c r="H920" s="1">
        <v>46199</v>
      </c>
      <c r="I920">
        <v>1.5</v>
      </c>
      <c r="J920">
        <v>0</v>
      </c>
      <c r="K920">
        <v>2400</v>
      </c>
      <c r="L920">
        <v>0</v>
      </c>
      <c r="M920">
        <v>47.904765814885302</v>
      </c>
      <c r="N920">
        <v>1.93</v>
      </c>
      <c r="O920">
        <f>(Table1[[#This Row],[P]]&lt;&gt;0)*(Table1[[#This Row],[C]]&lt;&gt;0)</f>
        <v>0</v>
      </c>
      <c r="P920">
        <f>NETWORKDAYS(Table1[[#This Row],[ts_event]],Table1[[#This Row],[option_expiry_date]])</f>
        <v>32</v>
      </c>
      <c r="Q920">
        <f>Table1[[#This Row],[Column2]]/252</f>
        <v>0.12698412698412698</v>
      </c>
      <c r="R920" s="2" t="e">
        <f>IF(Table1[[#This Row],[CHECK2]]=0,NA(),
-(1/Table1[[#This Row],[T]])*LN((Table1[[#This Row],[S0]]-Table1[[#This Row],[C]]+Table1[[#This Row],[P]])/Table1[[#This Row],[K]])
)</f>
        <v>#N/A</v>
      </c>
    </row>
    <row r="921" spans="1:18">
      <c r="A921">
        <v>1</v>
      </c>
      <c r="B921" t="s">
        <v>10</v>
      </c>
      <c r="C921" s="1">
        <v>46156</v>
      </c>
      <c r="D921" t="s">
        <v>15</v>
      </c>
      <c r="E921">
        <v>44</v>
      </c>
      <c r="F921" t="s">
        <v>12</v>
      </c>
      <c r="G921" t="s">
        <v>13</v>
      </c>
      <c r="H921" s="1">
        <v>46199</v>
      </c>
      <c r="I921">
        <v>3.3250000000000002</v>
      </c>
      <c r="J921">
        <v>0</v>
      </c>
      <c r="K921">
        <v>2000</v>
      </c>
      <c r="L921">
        <v>0</v>
      </c>
      <c r="M921">
        <v>47.904765814885302</v>
      </c>
      <c r="N921">
        <v>1.93</v>
      </c>
      <c r="O921">
        <f>(Table1[[#This Row],[P]]&lt;&gt;0)*(Table1[[#This Row],[C]]&lt;&gt;0)</f>
        <v>0</v>
      </c>
      <c r="P921">
        <f>NETWORKDAYS(Table1[[#This Row],[ts_event]],Table1[[#This Row],[option_expiry_date]])</f>
        <v>32</v>
      </c>
      <c r="Q921">
        <f>Table1[[#This Row],[Column2]]/252</f>
        <v>0.12698412698412698</v>
      </c>
      <c r="R921" s="2" t="e">
        <f>IF(Table1[[#This Row],[CHECK2]]=0,NA(),
-(1/Table1[[#This Row],[T]])*LN((Table1[[#This Row],[S0]]-Table1[[#This Row],[C]]+Table1[[#This Row],[P]])/Table1[[#This Row],[K]])
)</f>
        <v>#N/A</v>
      </c>
    </row>
    <row r="922" spans="1:18">
      <c r="A922">
        <v>1</v>
      </c>
      <c r="B922" t="s">
        <v>10</v>
      </c>
      <c r="C922" s="1">
        <v>46156</v>
      </c>
      <c r="D922" t="s">
        <v>15</v>
      </c>
      <c r="E922">
        <v>50</v>
      </c>
      <c r="F922" t="s">
        <v>12</v>
      </c>
      <c r="G922" t="s">
        <v>13</v>
      </c>
      <c r="H922" s="1">
        <v>46199</v>
      </c>
      <c r="I922">
        <v>0</v>
      </c>
      <c r="J922">
        <v>4.3</v>
      </c>
      <c r="K922">
        <v>0</v>
      </c>
      <c r="L922">
        <v>3700</v>
      </c>
      <c r="M922">
        <v>47.904765814885302</v>
      </c>
      <c r="N922">
        <v>1.93</v>
      </c>
      <c r="O922">
        <f>(Table1[[#This Row],[P]]&lt;&gt;0)*(Table1[[#This Row],[C]]&lt;&gt;0)</f>
        <v>0</v>
      </c>
      <c r="P922">
        <f>NETWORKDAYS(Table1[[#This Row],[ts_event]],Table1[[#This Row],[option_expiry_date]])</f>
        <v>32</v>
      </c>
      <c r="Q922">
        <f>Table1[[#This Row],[Column2]]/252</f>
        <v>0.12698412698412698</v>
      </c>
      <c r="R922" s="2" t="e">
        <f>IF(Table1[[#This Row],[CHECK2]]=0,NA(),
-(1/Table1[[#This Row],[T]])*LN((Table1[[#This Row],[S0]]-Table1[[#This Row],[C]]+Table1[[#This Row],[P]])/Table1[[#This Row],[K]])
)</f>
        <v>#N/A</v>
      </c>
    </row>
    <row r="923" spans="1:18">
      <c r="A923">
        <v>1</v>
      </c>
      <c r="B923" t="s">
        <v>10</v>
      </c>
      <c r="C923" s="1">
        <v>46156</v>
      </c>
      <c r="D923" t="s">
        <v>15</v>
      </c>
      <c r="E923">
        <v>52</v>
      </c>
      <c r="F923" t="s">
        <v>12</v>
      </c>
      <c r="G923" t="s">
        <v>13</v>
      </c>
      <c r="H923" s="1">
        <v>46199</v>
      </c>
      <c r="I923">
        <v>0</v>
      </c>
      <c r="J923">
        <v>3.8250000000000002</v>
      </c>
      <c r="K923">
        <v>0</v>
      </c>
      <c r="L923">
        <v>100</v>
      </c>
      <c r="M923">
        <v>47.904765814885302</v>
      </c>
      <c r="N923">
        <v>1.93</v>
      </c>
      <c r="O923">
        <f>(Table1[[#This Row],[P]]&lt;&gt;0)*(Table1[[#This Row],[C]]&lt;&gt;0)</f>
        <v>0</v>
      </c>
      <c r="P923">
        <f>NETWORKDAYS(Table1[[#This Row],[ts_event]],Table1[[#This Row],[option_expiry_date]])</f>
        <v>32</v>
      </c>
      <c r="Q923">
        <f>Table1[[#This Row],[Column2]]/252</f>
        <v>0.12698412698412698</v>
      </c>
      <c r="R923" s="2" t="e">
        <f>IF(Table1[[#This Row],[CHECK2]]=0,NA(),
-(1/Table1[[#This Row],[T]])*LN((Table1[[#This Row],[S0]]-Table1[[#This Row],[C]]+Table1[[#This Row],[P]])/Table1[[#This Row],[K]])
)</f>
        <v>#N/A</v>
      </c>
    </row>
    <row r="924" spans="1:18">
      <c r="A924">
        <v>1</v>
      </c>
      <c r="B924" t="s">
        <v>10</v>
      </c>
      <c r="C924" s="1">
        <v>46156</v>
      </c>
      <c r="D924" t="s">
        <v>15</v>
      </c>
      <c r="E924">
        <v>54</v>
      </c>
      <c r="F924" t="s">
        <v>12</v>
      </c>
      <c r="G924" t="s">
        <v>13</v>
      </c>
      <c r="H924" s="1">
        <v>46199</v>
      </c>
      <c r="I924">
        <v>0</v>
      </c>
      <c r="J924">
        <v>3.4</v>
      </c>
      <c r="K924">
        <v>0</v>
      </c>
      <c r="L924">
        <v>2000</v>
      </c>
      <c r="M924">
        <v>47.904765814885302</v>
      </c>
      <c r="N924">
        <v>1.93</v>
      </c>
      <c r="O924">
        <f>(Table1[[#This Row],[P]]&lt;&gt;0)*(Table1[[#This Row],[C]]&lt;&gt;0)</f>
        <v>0</v>
      </c>
      <c r="P924">
        <f>NETWORKDAYS(Table1[[#This Row],[ts_event]],Table1[[#This Row],[option_expiry_date]])</f>
        <v>32</v>
      </c>
      <c r="Q924">
        <f>Table1[[#This Row],[Column2]]/252</f>
        <v>0.12698412698412698</v>
      </c>
      <c r="R924" s="2" t="e">
        <f>IF(Table1[[#This Row],[CHECK2]]=0,NA(),
-(1/Table1[[#This Row],[T]])*LN((Table1[[#This Row],[S0]]-Table1[[#This Row],[C]]+Table1[[#This Row],[P]])/Table1[[#This Row],[K]])
)</f>
        <v>#N/A</v>
      </c>
    </row>
    <row r="925" spans="1:18">
      <c r="A925">
        <v>1</v>
      </c>
      <c r="B925" t="s">
        <v>10</v>
      </c>
      <c r="C925" s="1">
        <v>46156</v>
      </c>
      <c r="D925" t="s">
        <v>15</v>
      </c>
      <c r="E925">
        <v>55</v>
      </c>
      <c r="F925" t="s">
        <v>12</v>
      </c>
      <c r="G925" t="s">
        <v>13</v>
      </c>
      <c r="H925" s="1">
        <v>46199</v>
      </c>
      <c r="I925">
        <v>0</v>
      </c>
      <c r="J925">
        <v>3.35</v>
      </c>
      <c r="K925">
        <v>0</v>
      </c>
      <c r="L925">
        <v>100</v>
      </c>
      <c r="M925">
        <v>47.904765814885302</v>
      </c>
      <c r="N925">
        <v>1.93</v>
      </c>
      <c r="O925">
        <f>(Table1[[#This Row],[P]]&lt;&gt;0)*(Table1[[#This Row],[C]]&lt;&gt;0)</f>
        <v>0</v>
      </c>
      <c r="P925">
        <f>NETWORKDAYS(Table1[[#This Row],[ts_event]],Table1[[#This Row],[option_expiry_date]])</f>
        <v>32</v>
      </c>
      <c r="Q925">
        <f>Table1[[#This Row],[Column2]]/252</f>
        <v>0.12698412698412698</v>
      </c>
      <c r="R925" s="2" t="e">
        <f>IF(Table1[[#This Row],[CHECK2]]=0,NA(),
-(1/Table1[[#This Row],[T]])*LN((Table1[[#This Row],[S0]]-Table1[[#This Row],[C]]+Table1[[#This Row],[P]])/Table1[[#This Row],[K]])
)</f>
        <v>#N/A</v>
      </c>
    </row>
    <row r="926" spans="1:18">
      <c r="A926">
        <v>1</v>
      </c>
      <c r="B926" t="s">
        <v>10</v>
      </c>
      <c r="C926" s="1">
        <v>46156</v>
      </c>
      <c r="D926" t="s">
        <v>15</v>
      </c>
      <c r="E926">
        <v>60</v>
      </c>
      <c r="F926" t="s">
        <v>12</v>
      </c>
      <c r="G926" t="s">
        <v>13</v>
      </c>
      <c r="H926" s="1">
        <v>46199</v>
      </c>
      <c r="I926">
        <v>0</v>
      </c>
      <c r="J926">
        <v>2.2999999999999998</v>
      </c>
      <c r="K926">
        <v>0</v>
      </c>
      <c r="L926">
        <v>2325</v>
      </c>
      <c r="M926">
        <v>47.904765814885302</v>
      </c>
      <c r="N926">
        <v>1.93</v>
      </c>
      <c r="O926">
        <f>(Table1[[#This Row],[P]]&lt;&gt;0)*(Table1[[#This Row],[C]]&lt;&gt;0)</f>
        <v>0</v>
      </c>
      <c r="P926">
        <f>NETWORKDAYS(Table1[[#This Row],[ts_event]],Table1[[#This Row],[option_expiry_date]])</f>
        <v>32</v>
      </c>
      <c r="Q926">
        <f>Table1[[#This Row],[Column2]]/252</f>
        <v>0.12698412698412698</v>
      </c>
      <c r="R926" s="2" t="e">
        <f>IF(Table1[[#This Row],[CHECK2]]=0,NA(),
-(1/Table1[[#This Row],[T]])*LN((Table1[[#This Row],[S0]]-Table1[[#This Row],[C]]+Table1[[#This Row],[P]])/Table1[[#This Row],[K]])
)</f>
        <v>#N/A</v>
      </c>
    </row>
    <row r="927" spans="1:18">
      <c r="A927">
        <v>1</v>
      </c>
      <c r="B927" t="s">
        <v>10</v>
      </c>
      <c r="C927" s="1">
        <v>46156</v>
      </c>
      <c r="D927" t="s">
        <v>15</v>
      </c>
      <c r="E927">
        <v>65</v>
      </c>
      <c r="F927" t="s">
        <v>12</v>
      </c>
      <c r="G927" t="s">
        <v>13</v>
      </c>
      <c r="H927" s="1">
        <v>46199</v>
      </c>
      <c r="I927">
        <v>0</v>
      </c>
      <c r="J927">
        <v>1.87</v>
      </c>
      <c r="K927">
        <v>0</v>
      </c>
      <c r="L927">
        <v>650</v>
      </c>
      <c r="M927">
        <v>47.904765814885302</v>
      </c>
      <c r="N927">
        <v>1.93</v>
      </c>
      <c r="O927">
        <f>(Table1[[#This Row],[P]]&lt;&gt;0)*(Table1[[#This Row],[C]]&lt;&gt;0)</f>
        <v>0</v>
      </c>
      <c r="P927">
        <f>NETWORKDAYS(Table1[[#This Row],[ts_event]],Table1[[#This Row],[option_expiry_date]])</f>
        <v>32</v>
      </c>
      <c r="Q927">
        <f>Table1[[#This Row],[Column2]]/252</f>
        <v>0.12698412698412698</v>
      </c>
      <c r="R927" s="2" t="e">
        <f>IF(Table1[[#This Row],[CHECK2]]=0,NA(),
-(1/Table1[[#This Row],[T]])*LN((Table1[[#This Row],[S0]]-Table1[[#This Row],[C]]+Table1[[#This Row],[P]])/Table1[[#This Row],[K]])
)</f>
        <v>#N/A</v>
      </c>
    </row>
    <row r="928" spans="1:18">
      <c r="A928">
        <v>1</v>
      </c>
      <c r="B928" t="s">
        <v>10</v>
      </c>
      <c r="C928" s="1">
        <v>46156</v>
      </c>
      <c r="D928" t="s">
        <v>15</v>
      </c>
      <c r="E928">
        <v>70</v>
      </c>
      <c r="F928" t="s">
        <v>12</v>
      </c>
      <c r="G928" t="s">
        <v>13</v>
      </c>
      <c r="H928" s="1">
        <v>46199</v>
      </c>
      <c r="I928">
        <v>0</v>
      </c>
      <c r="J928">
        <v>1.43</v>
      </c>
      <c r="K928">
        <v>0</v>
      </c>
      <c r="L928">
        <v>1025</v>
      </c>
      <c r="M928">
        <v>47.904765814885302</v>
      </c>
      <c r="N928">
        <v>1.93</v>
      </c>
      <c r="O928">
        <f>(Table1[[#This Row],[P]]&lt;&gt;0)*(Table1[[#This Row],[C]]&lt;&gt;0)</f>
        <v>0</v>
      </c>
      <c r="P928">
        <f>NETWORKDAYS(Table1[[#This Row],[ts_event]],Table1[[#This Row],[option_expiry_date]])</f>
        <v>32</v>
      </c>
      <c r="Q928">
        <f>Table1[[#This Row],[Column2]]/252</f>
        <v>0.12698412698412698</v>
      </c>
      <c r="R928" s="2" t="e">
        <f>IF(Table1[[#This Row],[CHECK2]]=0,NA(),
-(1/Table1[[#This Row],[T]])*LN((Table1[[#This Row],[S0]]-Table1[[#This Row],[C]]+Table1[[#This Row],[P]])/Table1[[#This Row],[K]])
)</f>
        <v>#N/A</v>
      </c>
    </row>
    <row r="929" spans="1:18">
      <c r="A929">
        <v>1</v>
      </c>
      <c r="B929" t="s">
        <v>10</v>
      </c>
      <c r="C929" s="1">
        <v>46156</v>
      </c>
      <c r="D929" t="s">
        <v>15</v>
      </c>
      <c r="E929">
        <v>75</v>
      </c>
      <c r="F929" t="s">
        <v>12</v>
      </c>
      <c r="G929" t="s">
        <v>13</v>
      </c>
      <c r="H929" s="1">
        <v>46199</v>
      </c>
      <c r="I929">
        <v>0</v>
      </c>
      <c r="J929">
        <v>1.04</v>
      </c>
      <c r="K929">
        <v>0</v>
      </c>
      <c r="L929">
        <v>850</v>
      </c>
      <c r="M929">
        <v>47.904765814885302</v>
      </c>
      <c r="N929">
        <v>1.93</v>
      </c>
      <c r="O929">
        <f>(Table1[[#This Row],[P]]&lt;&gt;0)*(Table1[[#This Row],[C]]&lt;&gt;0)</f>
        <v>0</v>
      </c>
      <c r="P929">
        <f>NETWORKDAYS(Table1[[#This Row],[ts_event]],Table1[[#This Row],[option_expiry_date]])</f>
        <v>32</v>
      </c>
      <c r="Q929">
        <f>Table1[[#This Row],[Column2]]/252</f>
        <v>0.12698412698412698</v>
      </c>
      <c r="R929" s="2" t="e">
        <f>IF(Table1[[#This Row],[CHECK2]]=0,NA(),
-(1/Table1[[#This Row],[T]])*LN((Table1[[#This Row],[S0]]-Table1[[#This Row],[C]]+Table1[[#This Row],[P]])/Table1[[#This Row],[K]])
)</f>
        <v>#N/A</v>
      </c>
    </row>
    <row r="930" spans="1:18">
      <c r="A930">
        <v>1</v>
      </c>
      <c r="B930" t="s">
        <v>10</v>
      </c>
      <c r="C930" s="1">
        <v>46156</v>
      </c>
      <c r="D930" t="s">
        <v>16</v>
      </c>
      <c r="E930">
        <v>35</v>
      </c>
      <c r="F930" t="s">
        <v>12</v>
      </c>
      <c r="G930" t="s">
        <v>13</v>
      </c>
      <c r="H930" s="1">
        <v>46230</v>
      </c>
      <c r="I930">
        <v>0.91500000000000004</v>
      </c>
      <c r="J930">
        <v>0</v>
      </c>
      <c r="K930">
        <v>575</v>
      </c>
      <c r="L930">
        <v>0</v>
      </c>
      <c r="M930">
        <v>47.734223282320499</v>
      </c>
      <c r="N930">
        <v>1.93</v>
      </c>
      <c r="O930">
        <f>(Table1[[#This Row],[P]]&lt;&gt;0)*(Table1[[#This Row],[C]]&lt;&gt;0)</f>
        <v>0</v>
      </c>
      <c r="P930">
        <f>NETWORKDAYS(Table1[[#This Row],[ts_event]],Table1[[#This Row],[option_expiry_date]])</f>
        <v>53</v>
      </c>
      <c r="Q930">
        <f>Table1[[#This Row],[Column2]]/252</f>
        <v>0.21031746031746032</v>
      </c>
      <c r="R930" s="2" t="e">
        <f>IF(Table1[[#This Row],[CHECK2]]=0,NA(),
-(1/Table1[[#This Row],[T]])*LN((Table1[[#This Row],[S0]]-Table1[[#This Row],[C]]+Table1[[#This Row],[P]])/Table1[[#This Row],[K]])
)</f>
        <v>#N/A</v>
      </c>
    </row>
    <row r="931" spans="1:18">
      <c r="A931">
        <v>1</v>
      </c>
      <c r="B931" t="s">
        <v>10</v>
      </c>
      <c r="C931" s="1">
        <v>46156</v>
      </c>
      <c r="D931" t="s">
        <v>16</v>
      </c>
      <c r="E931">
        <v>40</v>
      </c>
      <c r="F931" t="s">
        <v>12</v>
      </c>
      <c r="G931" t="s">
        <v>13</v>
      </c>
      <c r="H931" s="1">
        <v>46230</v>
      </c>
      <c r="I931">
        <v>2.5449999999999999</v>
      </c>
      <c r="J931">
        <v>0</v>
      </c>
      <c r="K931">
        <v>550</v>
      </c>
      <c r="L931">
        <v>0</v>
      </c>
      <c r="M931">
        <v>47.734223282320499</v>
      </c>
      <c r="N931">
        <v>1.93</v>
      </c>
      <c r="O931">
        <f>(Table1[[#This Row],[P]]&lt;&gt;0)*(Table1[[#This Row],[C]]&lt;&gt;0)</f>
        <v>0</v>
      </c>
      <c r="P931">
        <f>NETWORKDAYS(Table1[[#This Row],[ts_event]],Table1[[#This Row],[option_expiry_date]])</f>
        <v>53</v>
      </c>
      <c r="Q931">
        <f>Table1[[#This Row],[Column2]]/252</f>
        <v>0.21031746031746032</v>
      </c>
      <c r="R931" s="2" t="e">
        <f>IF(Table1[[#This Row],[CHECK2]]=0,NA(),
-(1/Table1[[#This Row],[T]])*LN((Table1[[#This Row],[S0]]-Table1[[#This Row],[C]]+Table1[[#This Row],[P]])/Table1[[#This Row],[K]])
)</f>
        <v>#N/A</v>
      </c>
    </row>
    <row r="932" spans="1:18">
      <c r="A932">
        <v>1</v>
      </c>
      <c r="B932" t="s">
        <v>10</v>
      </c>
      <c r="C932" s="1">
        <v>46156</v>
      </c>
      <c r="D932" t="s">
        <v>16</v>
      </c>
      <c r="E932">
        <v>45</v>
      </c>
      <c r="F932" t="s">
        <v>12</v>
      </c>
      <c r="G932" t="s">
        <v>13</v>
      </c>
      <c r="H932" s="1">
        <v>46230</v>
      </c>
      <c r="I932">
        <v>5.35</v>
      </c>
      <c r="J932">
        <v>0</v>
      </c>
      <c r="K932">
        <v>450</v>
      </c>
      <c r="L932">
        <v>0</v>
      </c>
      <c r="M932">
        <v>47.734223282320499</v>
      </c>
      <c r="N932">
        <v>1.93</v>
      </c>
      <c r="O932">
        <f>(Table1[[#This Row],[P]]&lt;&gt;0)*(Table1[[#This Row],[C]]&lt;&gt;0)</f>
        <v>0</v>
      </c>
      <c r="P932">
        <f>NETWORKDAYS(Table1[[#This Row],[ts_event]],Table1[[#This Row],[option_expiry_date]])</f>
        <v>53</v>
      </c>
      <c r="Q932">
        <f>Table1[[#This Row],[Column2]]/252</f>
        <v>0.21031746031746032</v>
      </c>
      <c r="R932" s="2" t="e">
        <f>IF(Table1[[#This Row],[CHECK2]]=0,NA(),
-(1/Table1[[#This Row],[T]])*LN((Table1[[#This Row],[S0]]-Table1[[#This Row],[C]]+Table1[[#This Row],[P]])/Table1[[#This Row],[K]])
)</f>
        <v>#N/A</v>
      </c>
    </row>
    <row r="933" spans="1:18">
      <c r="A933">
        <v>1</v>
      </c>
      <c r="B933" t="s">
        <v>10</v>
      </c>
      <c r="C933" s="1">
        <v>46156</v>
      </c>
      <c r="D933" t="s">
        <v>17</v>
      </c>
      <c r="E933">
        <v>34.5</v>
      </c>
      <c r="F933" t="s">
        <v>12</v>
      </c>
      <c r="G933" t="s">
        <v>13</v>
      </c>
      <c r="H933" s="1">
        <v>46260</v>
      </c>
      <c r="I933">
        <v>1.125</v>
      </c>
      <c r="J933">
        <v>0</v>
      </c>
      <c r="K933">
        <v>10</v>
      </c>
      <c r="L933">
        <v>0</v>
      </c>
      <c r="M933">
        <v>47.624348822671301</v>
      </c>
      <c r="N933">
        <v>1.93</v>
      </c>
      <c r="O933">
        <f>(Table1[[#This Row],[P]]&lt;&gt;0)*(Table1[[#This Row],[C]]&lt;&gt;0)</f>
        <v>0</v>
      </c>
      <c r="P933">
        <f>NETWORKDAYS(Table1[[#This Row],[ts_event]],Table1[[#This Row],[option_expiry_date]])</f>
        <v>75</v>
      </c>
      <c r="Q933">
        <f>Table1[[#This Row],[Column2]]/252</f>
        <v>0.29761904761904762</v>
      </c>
      <c r="R933" s="2" t="e">
        <f>IF(Table1[[#This Row],[CHECK2]]=0,NA(),
-(1/Table1[[#This Row],[T]])*LN((Table1[[#This Row],[S0]]-Table1[[#This Row],[C]]+Table1[[#This Row],[P]])/Table1[[#This Row],[K]])
)</f>
        <v>#N/A</v>
      </c>
    </row>
    <row r="934" spans="1:18">
      <c r="A934">
        <v>1</v>
      </c>
      <c r="B934" t="s">
        <v>10</v>
      </c>
      <c r="C934" s="1">
        <v>46156</v>
      </c>
      <c r="D934" t="s">
        <v>17</v>
      </c>
      <c r="E934">
        <v>35</v>
      </c>
      <c r="F934" t="s">
        <v>12</v>
      </c>
      <c r="G934" t="s">
        <v>13</v>
      </c>
      <c r="H934" s="1">
        <v>46260</v>
      </c>
      <c r="I934">
        <v>1.38</v>
      </c>
      <c r="J934">
        <v>0</v>
      </c>
      <c r="K934">
        <v>1075</v>
      </c>
      <c r="L934">
        <v>0</v>
      </c>
      <c r="M934">
        <v>47.624348822671301</v>
      </c>
      <c r="N934">
        <v>1.93</v>
      </c>
      <c r="O934">
        <f>(Table1[[#This Row],[P]]&lt;&gt;0)*(Table1[[#This Row],[C]]&lt;&gt;0)</f>
        <v>0</v>
      </c>
      <c r="P934">
        <f>NETWORKDAYS(Table1[[#This Row],[ts_event]],Table1[[#This Row],[option_expiry_date]])</f>
        <v>75</v>
      </c>
      <c r="Q934">
        <f>Table1[[#This Row],[Column2]]/252</f>
        <v>0.29761904761904762</v>
      </c>
      <c r="R934" s="2" t="e">
        <f>IF(Table1[[#This Row],[CHECK2]]=0,NA(),
-(1/Table1[[#This Row],[T]])*LN((Table1[[#This Row],[S0]]-Table1[[#This Row],[C]]+Table1[[#This Row],[P]])/Table1[[#This Row],[K]])
)</f>
        <v>#N/A</v>
      </c>
    </row>
    <row r="935" spans="1:18">
      <c r="A935">
        <v>1</v>
      </c>
      <c r="B935" t="s">
        <v>10</v>
      </c>
      <c r="C935" s="1">
        <v>46156</v>
      </c>
      <c r="D935" t="s">
        <v>17</v>
      </c>
      <c r="E935">
        <v>40</v>
      </c>
      <c r="F935" t="s">
        <v>12</v>
      </c>
      <c r="G935" t="s">
        <v>13</v>
      </c>
      <c r="H935" s="1">
        <v>46260</v>
      </c>
      <c r="I935">
        <v>3.36</v>
      </c>
      <c r="J935">
        <v>0</v>
      </c>
      <c r="K935">
        <v>600</v>
      </c>
      <c r="L935">
        <v>0</v>
      </c>
      <c r="M935">
        <v>47.624348822671301</v>
      </c>
      <c r="N935">
        <v>1.93</v>
      </c>
      <c r="O935">
        <f>(Table1[[#This Row],[P]]&lt;&gt;0)*(Table1[[#This Row],[C]]&lt;&gt;0)</f>
        <v>0</v>
      </c>
      <c r="P935">
        <f>NETWORKDAYS(Table1[[#This Row],[ts_event]],Table1[[#This Row],[option_expiry_date]])</f>
        <v>75</v>
      </c>
      <c r="Q935">
        <f>Table1[[#This Row],[Column2]]/252</f>
        <v>0.29761904761904762</v>
      </c>
      <c r="R935" s="2" t="e">
        <f>IF(Table1[[#This Row],[CHECK2]]=0,NA(),
-(1/Table1[[#This Row],[T]])*LN((Table1[[#This Row],[S0]]-Table1[[#This Row],[C]]+Table1[[#This Row],[P]])/Table1[[#This Row],[K]])
)</f>
        <v>#N/A</v>
      </c>
    </row>
    <row r="936" spans="1:18">
      <c r="A936">
        <v>1</v>
      </c>
      <c r="B936" t="s">
        <v>10</v>
      </c>
      <c r="C936" s="1">
        <v>46156</v>
      </c>
      <c r="D936" t="s">
        <v>17</v>
      </c>
      <c r="E936">
        <v>50</v>
      </c>
      <c r="F936" t="s">
        <v>12</v>
      </c>
      <c r="G936" t="s">
        <v>13</v>
      </c>
      <c r="H936" s="1">
        <v>46260</v>
      </c>
      <c r="I936">
        <v>0</v>
      </c>
      <c r="J936">
        <v>6.71</v>
      </c>
      <c r="K936">
        <v>0</v>
      </c>
      <c r="L936">
        <v>1750</v>
      </c>
      <c r="M936">
        <v>47.624348822671301</v>
      </c>
      <c r="N936">
        <v>1.93</v>
      </c>
      <c r="O936">
        <f>(Table1[[#This Row],[P]]&lt;&gt;0)*(Table1[[#This Row],[C]]&lt;&gt;0)</f>
        <v>0</v>
      </c>
      <c r="P936">
        <f>NETWORKDAYS(Table1[[#This Row],[ts_event]],Table1[[#This Row],[option_expiry_date]])</f>
        <v>75</v>
      </c>
      <c r="Q936">
        <f>Table1[[#This Row],[Column2]]/252</f>
        <v>0.29761904761904762</v>
      </c>
      <c r="R936" s="2" t="e">
        <f>IF(Table1[[#This Row],[CHECK2]]=0,NA(),
-(1/Table1[[#This Row],[T]])*LN((Table1[[#This Row],[S0]]-Table1[[#This Row],[C]]+Table1[[#This Row],[P]])/Table1[[#This Row],[K]])
)</f>
        <v>#N/A</v>
      </c>
    </row>
    <row r="937" spans="1:18">
      <c r="A937">
        <v>1</v>
      </c>
      <c r="B937" t="s">
        <v>10</v>
      </c>
      <c r="C937" s="1">
        <v>46156</v>
      </c>
      <c r="D937" t="s">
        <v>17</v>
      </c>
      <c r="E937">
        <v>60</v>
      </c>
      <c r="F937" t="s">
        <v>12</v>
      </c>
      <c r="G937" t="s">
        <v>13</v>
      </c>
      <c r="H937" s="1">
        <v>46260</v>
      </c>
      <c r="I937">
        <v>0</v>
      </c>
      <c r="J937">
        <v>4.7</v>
      </c>
      <c r="K937">
        <v>0</v>
      </c>
      <c r="L937">
        <v>2300</v>
      </c>
      <c r="M937">
        <v>47.624348822671301</v>
      </c>
      <c r="N937">
        <v>1.93</v>
      </c>
      <c r="O937">
        <f>(Table1[[#This Row],[P]]&lt;&gt;0)*(Table1[[#This Row],[C]]&lt;&gt;0)</f>
        <v>0</v>
      </c>
      <c r="P937">
        <f>NETWORKDAYS(Table1[[#This Row],[ts_event]],Table1[[#This Row],[option_expiry_date]])</f>
        <v>75</v>
      </c>
      <c r="Q937">
        <f>Table1[[#This Row],[Column2]]/252</f>
        <v>0.29761904761904762</v>
      </c>
      <c r="R937" s="2" t="e">
        <f>IF(Table1[[#This Row],[CHECK2]]=0,NA(),
-(1/Table1[[#This Row],[T]])*LN((Table1[[#This Row],[S0]]-Table1[[#This Row],[C]]+Table1[[#This Row],[P]])/Table1[[#This Row],[K]])
)</f>
        <v>#N/A</v>
      </c>
    </row>
    <row r="938" spans="1:18">
      <c r="A938">
        <v>1</v>
      </c>
      <c r="B938" t="s">
        <v>10</v>
      </c>
      <c r="C938" s="1">
        <v>46156</v>
      </c>
      <c r="D938" t="s">
        <v>18</v>
      </c>
      <c r="E938">
        <v>44</v>
      </c>
      <c r="F938" t="s">
        <v>12</v>
      </c>
      <c r="G938" t="s">
        <v>13</v>
      </c>
      <c r="H938" s="1">
        <v>46290</v>
      </c>
      <c r="I938">
        <v>6.2249999999999996</v>
      </c>
      <c r="J938">
        <v>0</v>
      </c>
      <c r="K938">
        <v>50</v>
      </c>
      <c r="L938">
        <v>0</v>
      </c>
      <c r="M938">
        <v>47.158251313903399</v>
      </c>
      <c r="N938">
        <v>1.93</v>
      </c>
      <c r="O938">
        <f>(Table1[[#This Row],[P]]&lt;&gt;0)*(Table1[[#This Row],[C]]&lt;&gt;0)</f>
        <v>0</v>
      </c>
      <c r="P938">
        <f>NETWORKDAYS(Table1[[#This Row],[ts_event]],Table1[[#This Row],[option_expiry_date]])</f>
        <v>97</v>
      </c>
      <c r="Q938">
        <f>Table1[[#This Row],[Column2]]/252</f>
        <v>0.38492063492063494</v>
      </c>
      <c r="R938" s="2" t="e">
        <f>IF(Table1[[#This Row],[CHECK2]]=0,NA(),
-(1/Table1[[#This Row],[T]])*LN((Table1[[#This Row],[S0]]-Table1[[#This Row],[C]]+Table1[[#This Row],[P]])/Table1[[#This Row],[K]])
)</f>
        <v>#N/A</v>
      </c>
    </row>
    <row r="939" spans="1:18">
      <c r="A939">
        <v>1</v>
      </c>
      <c r="B939" t="s">
        <v>10</v>
      </c>
      <c r="C939" s="1">
        <v>46156</v>
      </c>
      <c r="D939" t="s">
        <v>18</v>
      </c>
      <c r="E939">
        <v>46</v>
      </c>
      <c r="F939" t="s">
        <v>12</v>
      </c>
      <c r="G939" t="s">
        <v>13</v>
      </c>
      <c r="H939" s="1">
        <v>46290</v>
      </c>
      <c r="I939">
        <v>0</v>
      </c>
      <c r="J939">
        <v>8.0500000000000007</v>
      </c>
      <c r="K939">
        <v>0</v>
      </c>
      <c r="L939">
        <v>50</v>
      </c>
      <c r="M939">
        <v>47.158251313903399</v>
      </c>
      <c r="N939">
        <v>1.93</v>
      </c>
      <c r="O939">
        <f>(Table1[[#This Row],[P]]&lt;&gt;0)*(Table1[[#This Row],[C]]&lt;&gt;0)</f>
        <v>0</v>
      </c>
      <c r="P939">
        <f>NETWORKDAYS(Table1[[#This Row],[ts_event]],Table1[[#This Row],[option_expiry_date]])</f>
        <v>97</v>
      </c>
      <c r="Q939">
        <f>Table1[[#This Row],[Column2]]/252</f>
        <v>0.38492063492063494</v>
      </c>
      <c r="R939" s="2" t="e">
        <f>IF(Table1[[#This Row],[CHECK2]]=0,NA(),
-(1/Table1[[#This Row],[T]])*LN((Table1[[#This Row],[S0]]-Table1[[#This Row],[C]]+Table1[[#This Row],[P]])/Table1[[#This Row],[K]])
)</f>
        <v>#N/A</v>
      </c>
    </row>
    <row r="940" spans="1:18">
      <c r="A940">
        <v>1</v>
      </c>
      <c r="B940" t="s">
        <v>10</v>
      </c>
      <c r="C940" s="1">
        <v>46156</v>
      </c>
      <c r="D940" t="s">
        <v>20</v>
      </c>
      <c r="E940">
        <v>30</v>
      </c>
      <c r="F940" t="s">
        <v>12</v>
      </c>
      <c r="G940" t="s">
        <v>13</v>
      </c>
      <c r="H940" s="1">
        <v>46352</v>
      </c>
      <c r="I940">
        <v>1.1000000000000001</v>
      </c>
      <c r="J940">
        <v>0</v>
      </c>
      <c r="K940">
        <v>450</v>
      </c>
      <c r="L940">
        <v>0</v>
      </c>
      <c r="M940">
        <v>46.0134876260311</v>
      </c>
      <c r="N940">
        <v>1.93</v>
      </c>
      <c r="O940">
        <f>(Table1[[#This Row],[P]]&lt;&gt;0)*(Table1[[#This Row],[C]]&lt;&gt;0)</f>
        <v>0</v>
      </c>
      <c r="P940">
        <f>NETWORKDAYS(Table1[[#This Row],[ts_event]],Table1[[#This Row],[option_expiry_date]])</f>
        <v>141</v>
      </c>
      <c r="Q940">
        <f>Table1[[#This Row],[Column2]]/252</f>
        <v>0.55952380952380953</v>
      </c>
      <c r="R940" s="2" t="e">
        <f>IF(Table1[[#This Row],[CHECK2]]=0,NA(),
-(1/Table1[[#This Row],[T]])*LN((Table1[[#This Row],[S0]]-Table1[[#This Row],[C]]+Table1[[#This Row],[P]])/Table1[[#This Row],[K]])
)</f>
        <v>#N/A</v>
      </c>
    </row>
    <row r="941" spans="1:18">
      <c r="A941">
        <v>1</v>
      </c>
      <c r="B941" t="s">
        <v>10</v>
      </c>
      <c r="C941" s="1">
        <v>46156</v>
      </c>
      <c r="D941" t="s">
        <v>20</v>
      </c>
      <c r="E941">
        <v>45</v>
      </c>
      <c r="F941" t="s">
        <v>12</v>
      </c>
      <c r="G941" t="s">
        <v>13</v>
      </c>
      <c r="H941" s="1">
        <v>46352</v>
      </c>
      <c r="I941">
        <v>0</v>
      </c>
      <c r="J941">
        <v>9.1999999999999993</v>
      </c>
      <c r="K941">
        <v>0</v>
      </c>
      <c r="L941">
        <v>500</v>
      </c>
      <c r="M941">
        <v>46.0134876260311</v>
      </c>
      <c r="N941">
        <v>1.93</v>
      </c>
      <c r="O941">
        <f>(Table1[[#This Row],[P]]&lt;&gt;0)*(Table1[[#This Row],[C]]&lt;&gt;0)</f>
        <v>0</v>
      </c>
      <c r="P941">
        <f>NETWORKDAYS(Table1[[#This Row],[ts_event]],Table1[[#This Row],[option_expiry_date]])</f>
        <v>141</v>
      </c>
      <c r="Q941">
        <f>Table1[[#This Row],[Column2]]/252</f>
        <v>0.55952380952380953</v>
      </c>
      <c r="R941" s="2" t="e">
        <f>IF(Table1[[#This Row],[CHECK2]]=0,NA(),
-(1/Table1[[#This Row],[T]])*LN((Table1[[#This Row],[S0]]-Table1[[#This Row],[C]]+Table1[[#This Row],[P]])/Table1[[#This Row],[K]])
)</f>
        <v>#N/A</v>
      </c>
    </row>
    <row r="942" spans="1:18">
      <c r="A942">
        <v>1</v>
      </c>
      <c r="B942" t="s">
        <v>10</v>
      </c>
      <c r="C942" s="1">
        <v>46156</v>
      </c>
      <c r="D942" t="s">
        <v>19</v>
      </c>
      <c r="E942">
        <v>55</v>
      </c>
      <c r="F942" t="s">
        <v>12</v>
      </c>
      <c r="G942" t="s">
        <v>13</v>
      </c>
      <c r="H942" s="1">
        <v>46380</v>
      </c>
      <c r="I942">
        <v>0</v>
      </c>
      <c r="J942">
        <v>7.45</v>
      </c>
      <c r="K942">
        <v>0</v>
      </c>
      <c r="L942">
        <v>350</v>
      </c>
      <c r="M942">
        <v>45.606918251133997</v>
      </c>
      <c r="N942">
        <v>1.93</v>
      </c>
      <c r="O942">
        <f>(Table1[[#This Row],[P]]&lt;&gt;0)*(Table1[[#This Row],[C]]&lt;&gt;0)</f>
        <v>0</v>
      </c>
      <c r="P942">
        <f>NETWORKDAYS(Table1[[#This Row],[ts_event]],Table1[[#This Row],[option_expiry_date]])</f>
        <v>161</v>
      </c>
      <c r="Q942">
        <f>Table1[[#This Row],[Column2]]/252</f>
        <v>0.63888888888888884</v>
      </c>
      <c r="R942" s="2" t="e">
        <f>IF(Table1[[#This Row],[CHECK2]]=0,NA(),
-(1/Table1[[#This Row],[T]])*LN((Table1[[#This Row],[S0]]-Table1[[#This Row],[C]]+Table1[[#This Row],[P]])/Table1[[#This Row],[K]])
)</f>
        <v>#N/A</v>
      </c>
    </row>
    <row r="943" spans="1:18">
      <c r="A943">
        <v>1</v>
      </c>
      <c r="B943" t="s">
        <v>10</v>
      </c>
      <c r="C943" s="1">
        <v>46156</v>
      </c>
      <c r="D943" t="s">
        <v>19</v>
      </c>
      <c r="E943">
        <v>70</v>
      </c>
      <c r="F943" t="s">
        <v>12</v>
      </c>
      <c r="G943" t="s">
        <v>13</v>
      </c>
      <c r="H943" s="1">
        <v>46380</v>
      </c>
      <c r="I943">
        <v>0</v>
      </c>
      <c r="J943">
        <v>5.45</v>
      </c>
      <c r="K943">
        <v>0</v>
      </c>
      <c r="L943">
        <v>50</v>
      </c>
      <c r="M943">
        <v>45.606918251133997</v>
      </c>
      <c r="N943">
        <v>1.93</v>
      </c>
      <c r="O943">
        <f>(Table1[[#This Row],[P]]&lt;&gt;0)*(Table1[[#This Row],[C]]&lt;&gt;0)</f>
        <v>0</v>
      </c>
      <c r="P943">
        <f>NETWORKDAYS(Table1[[#This Row],[ts_event]],Table1[[#This Row],[option_expiry_date]])</f>
        <v>161</v>
      </c>
      <c r="Q943">
        <f>Table1[[#This Row],[Column2]]/252</f>
        <v>0.63888888888888884</v>
      </c>
      <c r="R943" s="2" t="e">
        <f>IF(Table1[[#This Row],[CHECK2]]=0,NA(),
-(1/Table1[[#This Row],[T]])*LN((Table1[[#This Row],[S0]]-Table1[[#This Row],[C]]+Table1[[#This Row],[P]])/Table1[[#This Row],[K]])
)</f>
        <v>#N/A</v>
      </c>
    </row>
    <row r="944" spans="1:18">
      <c r="A944">
        <v>1</v>
      </c>
      <c r="B944" t="s">
        <v>10</v>
      </c>
      <c r="C944" s="1">
        <v>46156</v>
      </c>
      <c r="D944" t="s">
        <v>22</v>
      </c>
      <c r="E944">
        <v>25</v>
      </c>
      <c r="F944" t="s">
        <v>12</v>
      </c>
      <c r="G944" t="s">
        <v>13</v>
      </c>
      <c r="H944" s="1">
        <v>46442</v>
      </c>
      <c r="I944">
        <v>1.125</v>
      </c>
      <c r="J944">
        <v>0</v>
      </c>
      <c r="K944">
        <v>75</v>
      </c>
      <c r="L944">
        <v>0</v>
      </c>
      <c r="M944">
        <v>43.38</v>
      </c>
      <c r="N944">
        <v>1.93</v>
      </c>
      <c r="O944">
        <f>(Table1[[#This Row],[P]]&lt;&gt;0)*(Table1[[#This Row],[C]]&lt;&gt;0)</f>
        <v>0</v>
      </c>
      <c r="P944">
        <f>NETWORKDAYS(Table1[[#This Row],[ts_event]],Table1[[#This Row],[option_expiry_date]])</f>
        <v>205</v>
      </c>
      <c r="Q944">
        <f>Table1[[#This Row],[Column2]]/252</f>
        <v>0.81349206349206349</v>
      </c>
      <c r="R944" s="2" t="e">
        <f>IF(Table1[[#This Row],[CHECK2]]=0,NA(),
-(1/Table1[[#This Row],[T]])*LN((Table1[[#This Row],[S0]]-Table1[[#This Row],[C]]+Table1[[#This Row],[P]])/Table1[[#This Row],[K]])
)</f>
        <v>#N/A</v>
      </c>
    </row>
    <row r="945" spans="1:18">
      <c r="A945">
        <v>1</v>
      </c>
      <c r="B945" t="s">
        <v>10</v>
      </c>
      <c r="C945" s="1">
        <v>46156</v>
      </c>
      <c r="D945" t="s">
        <v>22</v>
      </c>
      <c r="E945">
        <v>28</v>
      </c>
      <c r="F945" t="s">
        <v>12</v>
      </c>
      <c r="G945" t="s">
        <v>13</v>
      </c>
      <c r="H945" s="1">
        <v>46442</v>
      </c>
      <c r="I945">
        <v>0</v>
      </c>
      <c r="J945">
        <v>16.8</v>
      </c>
      <c r="K945">
        <v>0</v>
      </c>
      <c r="L945">
        <v>75</v>
      </c>
      <c r="M945">
        <v>43.38</v>
      </c>
      <c r="N945">
        <v>1.93</v>
      </c>
      <c r="O945">
        <f>(Table1[[#This Row],[P]]&lt;&gt;0)*(Table1[[#This Row],[C]]&lt;&gt;0)</f>
        <v>0</v>
      </c>
      <c r="P945">
        <f>NETWORKDAYS(Table1[[#This Row],[ts_event]],Table1[[#This Row],[option_expiry_date]])</f>
        <v>205</v>
      </c>
      <c r="Q945">
        <f>Table1[[#This Row],[Column2]]/252</f>
        <v>0.81349206349206349</v>
      </c>
      <c r="R945" s="2" t="e">
        <f>IF(Table1[[#This Row],[CHECK2]]=0,NA(),
-(1/Table1[[#This Row],[T]])*LN((Table1[[#This Row],[S0]]-Table1[[#This Row],[C]]+Table1[[#This Row],[P]])/Table1[[#This Row],[K]])
)</f>
        <v>#N/A</v>
      </c>
    </row>
    <row r="946" spans="1:18">
      <c r="A946">
        <v>1</v>
      </c>
      <c r="B946" t="s">
        <v>10</v>
      </c>
      <c r="C946" s="1">
        <v>46156</v>
      </c>
      <c r="D946" t="s">
        <v>22</v>
      </c>
      <c r="E946">
        <v>30</v>
      </c>
      <c r="F946" t="s">
        <v>12</v>
      </c>
      <c r="G946" t="s">
        <v>13</v>
      </c>
      <c r="H946" s="1">
        <v>46442</v>
      </c>
      <c r="I946">
        <v>2.5499999999999998</v>
      </c>
      <c r="J946">
        <v>0</v>
      </c>
      <c r="K946">
        <v>400</v>
      </c>
      <c r="L946">
        <v>0</v>
      </c>
      <c r="M946">
        <v>43.38</v>
      </c>
      <c r="N946">
        <v>1.93</v>
      </c>
      <c r="O946">
        <f>(Table1[[#This Row],[P]]&lt;&gt;0)*(Table1[[#This Row],[C]]&lt;&gt;0)</f>
        <v>0</v>
      </c>
      <c r="P946">
        <f>NETWORKDAYS(Table1[[#This Row],[ts_event]],Table1[[#This Row],[option_expiry_date]])</f>
        <v>205</v>
      </c>
      <c r="Q946">
        <f>Table1[[#This Row],[Column2]]/252</f>
        <v>0.81349206349206349</v>
      </c>
      <c r="R946" s="2" t="e">
        <f>IF(Table1[[#This Row],[CHECK2]]=0,NA(),
-(1/Table1[[#This Row],[T]])*LN((Table1[[#This Row],[S0]]-Table1[[#This Row],[C]]+Table1[[#This Row],[P]])/Table1[[#This Row],[K]])
)</f>
        <v>#N/A</v>
      </c>
    </row>
    <row r="947" spans="1:18">
      <c r="A947">
        <v>1</v>
      </c>
      <c r="B947" t="s">
        <v>10</v>
      </c>
      <c r="C947" s="1">
        <v>46156</v>
      </c>
      <c r="D947" t="s">
        <v>22</v>
      </c>
      <c r="E947">
        <v>45</v>
      </c>
      <c r="F947" t="s">
        <v>12</v>
      </c>
      <c r="G947" t="s">
        <v>13</v>
      </c>
      <c r="H947" s="1">
        <v>46442</v>
      </c>
      <c r="I947">
        <v>0</v>
      </c>
      <c r="J947">
        <v>9.8000000000000007</v>
      </c>
      <c r="K947">
        <v>0</v>
      </c>
      <c r="L947">
        <v>500</v>
      </c>
      <c r="M947">
        <v>43.38</v>
      </c>
      <c r="N947">
        <v>1.93</v>
      </c>
      <c r="O947">
        <f>(Table1[[#This Row],[P]]&lt;&gt;0)*(Table1[[#This Row],[C]]&lt;&gt;0)</f>
        <v>0</v>
      </c>
      <c r="P947">
        <f>NETWORKDAYS(Table1[[#This Row],[ts_event]],Table1[[#This Row],[option_expiry_date]])</f>
        <v>205</v>
      </c>
      <c r="Q947">
        <f>Table1[[#This Row],[Column2]]/252</f>
        <v>0.81349206349206349</v>
      </c>
      <c r="R947" s="2" t="e">
        <f>IF(Table1[[#This Row],[CHECK2]]=0,NA(),
-(1/Table1[[#This Row],[T]])*LN((Table1[[#This Row],[S0]]-Table1[[#This Row],[C]]+Table1[[#This Row],[P]])/Table1[[#This Row],[K]])
)</f>
        <v>#N/A</v>
      </c>
    </row>
    <row r="948" spans="1:18">
      <c r="A948">
        <v>1</v>
      </c>
      <c r="B948" t="s">
        <v>10</v>
      </c>
      <c r="C948" s="1">
        <v>46157</v>
      </c>
      <c r="D948" t="s">
        <v>14</v>
      </c>
      <c r="E948">
        <v>35</v>
      </c>
      <c r="F948" t="s">
        <v>12</v>
      </c>
      <c r="G948" t="s">
        <v>13</v>
      </c>
      <c r="H948" s="1">
        <v>46169</v>
      </c>
      <c r="I948">
        <v>0.04</v>
      </c>
      <c r="J948">
        <v>0</v>
      </c>
      <c r="K948">
        <v>2000</v>
      </c>
      <c r="L948">
        <v>0</v>
      </c>
      <c r="M948">
        <v>50.966962340823699</v>
      </c>
      <c r="N948">
        <v>1.931</v>
      </c>
      <c r="O948">
        <f>(Table1[[#This Row],[P]]&lt;&gt;0)*(Table1[[#This Row],[C]]&lt;&gt;0)</f>
        <v>0</v>
      </c>
      <c r="P948">
        <f>NETWORKDAYS(Table1[[#This Row],[ts_event]],Table1[[#This Row],[option_expiry_date]])</f>
        <v>9</v>
      </c>
      <c r="Q948">
        <f>Table1[[#This Row],[Column2]]/252</f>
        <v>3.5714285714285712E-2</v>
      </c>
      <c r="R948" s="2" t="e">
        <f>IF(Table1[[#This Row],[CHECK2]]=0,NA(),
-(1/Table1[[#This Row],[T]])*LN((Table1[[#This Row],[S0]]-Table1[[#This Row],[C]]+Table1[[#This Row],[P]])/Table1[[#This Row],[K]])
)</f>
        <v>#N/A</v>
      </c>
    </row>
    <row r="949" spans="1:18">
      <c r="A949">
        <v>1</v>
      </c>
      <c r="B949" t="s">
        <v>10</v>
      </c>
      <c r="C949" s="1">
        <v>46157</v>
      </c>
      <c r="D949" t="s">
        <v>14</v>
      </c>
      <c r="E949">
        <v>37</v>
      </c>
      <c r="F949" t="s">
        <v>12</v>
      </c>
      <c r="G949" t="s">
        <v>13</v>
      </c>
      <c r="H949" s="1">
        <v>46169</v>
      </c>
      <c r="I949">
        <v>0.105</v>
      </c>
      <c r="J949">
        <v>0</v>
      </c>
      <c r="K949">
        <v>250</v>
      </c>
      <c r="L949">
        <v>0</v>
      </c>
      <c r="M949">
        <v>50.966962340823699</v>
      </c>
      <c r="N949">
        <v>1.931</v>
      </c>
      <c r="O949">
        <f>(Table1[[#This Row],[P]]&lt;&gt;0)*(Table1[[#This Row],[C]]&lt;&gt;0)</f>
        <v>0</v>
      </c>
      <c r="P949">
        <f>NETWORKDAYS(Table1[[#This Row],[ts_event]],Table1[[#This Row],[option_expiry_date]])</f>
        <v>9</v>
      </c>
      <c r="Q949">
        <f>Table1[[#This Row],[Column2]]/252</f>
        <v>3.5714285714285712E-2</v>
      </c>
      <c r="R949" s="2" t="e">
        <f>IF(Table1[[#This Row],[CHECK2]]=0,NA(),
-(1/Table1[[#This Row],[T]])*LN((Table1[[#This Row],[S0]]-Table1[[#This Row],[C]]+Table1[[#This Row],[P]])/Table1[[#This Row],[K]])
)</f>
        <v>#N/A</v>
      </c>
    </row>
    <row r="950" spans="1:18">
      <c r="A950">
        <v>1</v>
      </c>
      <c r="B950" t="s">
        <v>10</v>
      </c>
      <c r="C950" s="1">
        <v>46157</v>
      </c>
      <c r="D950" t="s">
        <v>14</v>
      </c>
      <c r="E950">
        <v>38</v>
      </c>
      <c r="F950" t="s">
        <v>12</v>
      </c>
      <c r="G950" t="s">
        <v>13</v>
      </c>
      <c r="H950" s="1">
        <v>46169</v>
      </c>
      <c r="I950">
        <v>0.155</v>
      </c>
      <c r="J950">
        <v>0</v>
      </c>
      <c r="K950">
        <v>190</v>
      </c>
      <c r="L950">
        <v>0</v>
      </c>
      <c r="M950">
        <v>50.966962340823699</v>
      </c>
      <c r="N950">
        <v>1.931</v>
      </c>
      <c r="O950">
        <f>(Table1[[#This Row],[P]]&lt;&gt;0)*(Table1[[#This Row],[C]]&lt;&gt;0)</f>
        <v>0</v>
      </c>
      <c r="P950">
        <f>NETWORKDAYS(Table1[[#This Row],[ts_event]],Table1[[#This Row],[option_expiry_date]])</f>
        <v>9</v>
      </c>
      <c r="Q950">
        <f>Table1[[#This Row],[Column2]]/252</f>
        <v>3.5714285714285712E-2</v>
      </c>
      <c r="R950" s="2" t="e">
        <f>IF(Table1[[#This Row],[CHECK2]]=0,NA(),
-(1/Table1[[#This Row],[T]])*LN((Table1[[#This Row],[S0]]-Table1[[#This Row],[C]]+Table1[[#This Row],[P]])/Table1[[#This Row],[K]])
)</f>
        <v>#N/A</v>
      </c>
    </row>
    <row r="951" spans="1:18">
      <c r="A951">
        <v>3</v>
      </c>
      <c r="B951" t="s">
        <v>10</v>
      </c>
      <c r="C951" s="1">
        <v>46157</v>
      </c>
      <c r="D951" t="s">
        <v>14</v>
      </c>
      <c r="E951">
        <v>40</v>
      </c>
      <c r="F951" t="s">
        <v>12</v>
      </c>
      <c r="G951" t="s">
        <v>13</v>
      </c>
      <c r="H951" s="1">
        <v>46169</v>
      </c>
      <c r="I951">
        <v>0.25423357664233498</v>
      </c>
      <c r="J951">
        <v>10.074999999999999</v>
      </c>
      <c r="K951">
        <v>4110</v>
      </c>
      <c r="L951">
        <v>1000</v>
      </c>
      <c r="M951">
        <v>50.966962340823699</v>
      </c>
      <c r="N951">
        <v>1.931</v>
      </c>
      <c r="O951">
        <f>(Table1[[#This Row],[P]]&lt;&gt;0)*(Table1[[#This Row],[C]]&lt;&gt;0)</f>
        <v>1</v>
      </c>
      <c r="P951">
        <f>NETWORKDAYS(Table1[[#This Row],[ts_event]],Table1[[#This Row],[option_expiry_date]])</f>
        <v>9</v>
      </c>
      <c r="Q951">
        <f>Table1[[#This Row],[Column2]]/252</f>
        <v>3.5714285714285712E-2</v>
      </c>
      <c r="R951" s="2">
        <f>IF(Table1[[#This Row],[CHECK2]]=0,NA(),
-(1/Table1[[#This Row],[T]])*LN((Table1[[#This Row],[S0]]-Table1[[#This Row],[C]]+Table1[[#This Row],[P]])/Table1[[#This Row],[K]])
)</f>
        <v>-0.79105668448504252</v>
      </c>
    </row>
    <row r="952" spans="1:18">
      <c r="A952">
        <v>2</v>
      </c>
      <c r="B952" t="s">
        <v>10</v>
      </c>
      <c r="C952" s="1">
        <v>46157</v>
      </c>
      <c r="D952" t="s">
        <v>14</v>
      </c>
      <c r="E952">
        <v>41</v>
      </c>
      <c r="F952" t="s">
        <v>12</v>
      </c>
      <c r="G952" t="s">
        <v>13</v>
      </c>
      <c r="H952" s="1">
        <v>46169</v>
      </c>
      <c r="I952">
        <v>0.30461538461538401</v>
      </c>
      <c r="J952">
        <v>0</v>
      </c>
      <c r="K952">
        <v>130</v>
      </c>
      <c r="L952">
        <v>0</v>
      </c>
      <c r="M952">
        <v>50.966962340823699</v>
      </c>
      <c r="N952">
        <v>1.931</v>
      </c>
      <c r="O952">
        <f>(Table1[[#This Row],[P]]&lt;&gt;0)*(Table1[[#This Row],[C]]&lt;&gt;0)</f>
        <v>0</v>
      </c>
      <c r="P952">
        <f>NETWORKDAYS(Table1[[#This Row],[ts_event]],Table1[[#This Row],[option_expiry_date]])</f>
        <v>9</v>
      </c>
      <c r="Q952">
        <f>Table1[[#This Row],[Column2]]/252</f>
        <v>3.5714285714285712E-2</v>
      </c>
      <c r="R952" s="2" t="e">
        <f>IF(Table1[[#This Row],[CHECK2]]=0,NA(),
-(1/Table1[[#This Row],[T]])*LN((Table1[[#This Row],[S0]]-Table1[[#This Row],[C]]+Table1[[#This Row],[P]])/Table1[[#This Row],[K]])
)</f>
        <v>#N/A</v>
      </c>
    </row>
    <row r="953" spans="1:18">
      <c r="A953">
        <v>2</v>
      </c>
      <c r="B953" t="s">
        <v>10</v>
      </c>
      <c r="C953" s="1">
        <v>46157</v>
      </c>
      <c r="D953" t="s">
        <v>14</v>
      </c>
      <c r="E953">
        <v>42</v>
      </c>
      <c r="F953" t="s">
        <v>12</v>
      </c>
      <c r="G953" t="s">
        <v>13</v>
      </c>
      <c r="H953" s="1">
        <v>46169</v>
      </c>
      <c r="I953">
        <v>0.39999999999999902</v>
      </c>
      <c r="J953">
        <v>0</v>
      </c>
      <c r="K953">
        <v>2320</v>
      </c>
      <c r="L953">
        <v>0</v>
      </c>
      <c r="M953">
        <v>50.966962340823699</v>
      </c>
      <c r="N953">
        <v>1.931</v>
      </c>
      <c r="O953">
        <f>(Table1[[#This Row],[P]]&lt;&gt;0)*(Table1[[#This Row],[C]]&lt;&gt;0)</f>
        <v>0</v>
      </c>
      <c r="P953">
        <f>NETWORKDAYS(Table1[[#This Row],[ts_event]],Table1[[#This Row],[option_expiry_date]])</f>
        <v>9</v>
      </c>
      <c r="Q953">
        <f>Table1[[#This Row],[Column2]]/252</f>
        <v>3.5714285714285712E-2</v>
      </c>
      <c r="R953" s="2" t="e">
        <f>IF(Table1[[#This Row],[CHECK2]]=0,NA(),
-(1/Table1[[#This Row],[T]])*LN((Table1[[#This Row],[S0]]-Table1[[#This Row],[C]]+Table1[[#This Row],[P]])/Table1[[#This Row],[K]])
)</f>
        <v>#N/A</v>
      </c>
    </row>
    <row r="954" spans="1:18">
      <c r="A954">
        <v>2</v>
      </c>
      <c r="B954" t="s">
        <v>10</v>
      </c>
      <c r="C954" s="1">
        <v>46157</v>
      </c>
      <c r="D954" t="s">
        <v>14</v>
      </c>
      <c r="E954">
        <v>43</v>
      </c>
      <c r="F954" t="s">
        <v>12</v>
      </c>
      <c r="G954" t="s">
        <v>13</v>
      </c>
      <c r="H954" s="1">
        <v>46169</v>
      </c>
      <c r="I954">
        <v>0.63923913043478198</v>
      </c>
      <c r="J954">
        <v>0</v>
      </c>
      <c r="K954">
        <v>460</v>
      </c>
      <c r="L954">
        <v>0</v>
      </c>
      <c r="M954">
        <v>50.966962340823699</v>
      </c>
      <c r="N954">
        <v>1.931</v>
      </c>
      <c r="O954">
        <f>(Table1[[#This Row],[P]]&lt;&gt;0)*(Table1[[#This Row],[C]]&lt;&gt;0)</f>
        <v>0</v>
      </c>
      <c r="P954">
        <f>NETWORKDAYS(Table1[[#This Row],[ts_event]],Table1[[#This Row],[option_expiry_date]])</f>
        <v>9</v>
      </c>
      <c r="Q954">
        <f>Table1[[#This Row],[Column2]]/252</f>
        <v>3.5714285714285712E-2</v>
      </c>
      <c r="R954" s="2" t="e">
        <f>IF(Table1[[#This Row],[CHECK2]]=0,NA(),
-(1/Table1[[#This Row],[T]])*LN((Table1[[#This Row],[S0]]-Table1[[#This Row],[C]]+Table1[[#This Row],[P]])/Table1[[#This Row],[K]])
)</f>
        <v>#N/A</v>
      </c>
    </row>
    <row r="955" spans="1:18">
      <c r="A955">
        <v>2</v>
      </c>
      <c r="B955" t="s">
        <v>10</v>
      </c>
      <c r="C955" s="1">
        <v>46157</v>
      </c>
      <c r="D955" t="s">
        <v>14</v>
      </c>
      <c r="E955">
        <v>44</v>
      </c>
      <c r="F955" t="s">
        <v>12</v>
      </c>
      <c r="G955" t="s">
        <v>13</v>
      </c>
      <c r="H955" s="1">
        <v>46169</v>
      </c>
      <c r="I955">
        <v>0.73816000000000004</v>
      </c>
      <c r="J955">
        <v>0</v>
      </c>
      <c r="K955">
        <v>1250</v>
      </c>
      <c r="L955">
        <v>0</v>
      </c>
      <c r="M955">
        <v>50.966962340823699</v>
      </c>
      <c r="N955">
        <v>1.931</v>
      </c>
      <c r="O955">
        <f>(Table1[[#This Row],[P]]&lt;&gt;0)*(Table1[[#This Row],[C]]&lt;&gt;0)</f>
        <v>0</v>
      </c>
      <c r="P955">
        <f>NETWORKDAYS(Table1[[#This Row],[ts_event]],Table1[[#This Row],[option_expiry_date]])</f>
        <v>9</v>
      </c>
      <c r="Q955">
        <f>Table1[[#This Row],[Column2]]/252</f>
        <v>3.5714285714285712E-2</v>
      </c>
      <c r="R955" s="2" t="e">
        <f>IF(Table1[[#This Row],[CHECK2]]=0,NA(),
-(1/Table1[[#This Row],[T]])*LN((Table1[[#This Row],[S0]]-Table1[[#This Row],[C]]+Table1[[#This Row],[P]])/Table1[[#This Row],[K]])
)</f>
        <v>#N/A</v>
      </c>
    </row>
    <row r="956" spans="1:18">
      <c r="A956">
        <v>3</v>
      </c>
      <c r="B956" t="s">
        <v>10</v>
      </c>
      <c r="C956" s="1">
        <v>46157</v>
      </c>
      <c r="D956" t="s">
        <v>14</v>
      </c>
      <c r="E956">
        <v>45</v>
      </c>
      <c r="F956" t="s">
        <v>12</v>
      </c>
      <c r="G956" t="s">
        <v>13</v>
      </c>
      <c r="H956" s="1">
        <v>46169</v>
      </c>
      <c r="I956">
        <v>0.72626923076923</v>
      </c>
      <c r="J956">
        <v>5.87</v>
      </c>
      <c r="K956">
        <v>3250</v>
      </c>
      <c r="L956">
        <v>1925</v>
      </c>
      <c r="M956">
        <v>50.966962340823699</v>
      </c>
      <c r="N956">
        <v>1.931</v>
      </c>
      <c r="O956">
        <f>(Table1[[#This Row],[P]]&lt;&gt;0)*(Table1[[#This Row],[C]]&lt;&gt;0)</f>
        <v>1</v>
      </c>
      <c r="P956">
        <f>NETWORKDAYS(Table1[[#This Row],[ts_event]],Table1[[#This Row],[option_expiry_date]])</f>
        <v>9</v>
      </c>
      <c r="Q956">
        <f>Table1[[#This Row],[Column2]]/252</f>
        <v>3.5714285714285712E-2</v>
      </c>
      <c r="R956" s="2">
        <f>IF(Table1[[#This Row],[CHECK2]]=0,NA(),
-(1/Table1[[#This Row],[T]])*LN((Table1[[#This Row],[S0]]-Table1[[#This Row],[C]]+Table1[[#This Row],[P]])/Table1[[#This Row],[K]])
)</f>
        <v>-0.5076039444491125</v>
      </c>
    </row>
    <row r="957" spans="1:18">
      <c r="A957">
        <v>1</v>
      </c>
      <c r="B957" t="s">
        <v>10</v>
      </c>
      <c r="C957" s="1">
        <v>46157</v>
      </c>
      <c r="D957" t="s">
        <v>14</v>
      </c>
      <c r="E957">
        <v>46</v>
      </c>
      <c r="F957" t="s">
        <v>12</v>
      </c>
      <c r="G957" t="s">
        <v>13</v>
      </c>
      <c r="H957" s="1">
        <v>46169</v>
      </c>
      <c r="I957">
        <v>1.175</v>
      </c>
      <c r="J957">
        <v>0</v>
      </c>
      <c r="K957">
        <v>810</v>
      </c>
      <c r="L957">
        <v>0</v>
      </c>
      <c r="M957">
        <v>50.966962340823699</v>
      </c>
      <c r="N957">
        <v>1.931</v>
      </c>
      <c r="O957">
        <f>(Table1[[#This Row],[P]]&lt;&gt;0)*(Table1[[#This Row],[C]]&lt;&gt;0)</f>
        <v>0</v>
      </c>
      <c r="P957">
        <f>NETWORKDAYS(Table1[[#This Row],[ts_event]],Table1[[#This Row],[option_expiry_date]])</f>
        <v>9</v>
      </c>
      <c r="Q957">
        <f>Table1[[#This Row],[Column2]]/252</f>
        <v>3.5714285714285712E-2</v>
      </c>
      <c r="R957" s="2" t="e">
        <f>IF(Table1[[#This Row],[CHECK2]]=0,NA(),
-(1/Table1[[#This Row],[T]])*LN((Table1[[#This Row],[S0]]-Table1[[#This Row],[C]]+Table1[[#This Row],[P]])/Table1[[#This Row],[K]])
)</f>
        <v>#N/A</v>
      </c>
    </row>
    <row r="958" spans="1:18">
      <c r="A958">
        <v>2</v>
      </c>
      <c r="B958" t="s">
        <v>10</v>
      </c>
      <c r="C958" s="1">
        <v>46157</v>
      </c>
      <c r="D958" t="s">
        <v>14</v>
      </c>
      <c r="E958">
        <v>47</v>
      </c>
      <c r="F958" t="s">
        <v>12</v>
      </c>
      <c r="G958" t="s">
        <v>13</v>
      </c>
      <c r="H958" s="1">
        <v>46169</v>
      </c>
      <c r="I958">
        <v>1.7749999999999999</v>
      </c>
      <c r="J958">
        <v>3.86</v>
      </c>
      <c r="K958">
        <v>3710</v>
      </c>
      <c r="L958">
        <v>50</v>
      </c>
      <c r="M958">
        <v>50.966962340823699</v>
      </c>
      <c r="N958">
        <v>1.931</v>
      </c>
      <c r="O958">
        <f>(Table1[[#This Row],[P]]&lt;&gt;0)*(Table1[[#This Row],[C]]&lt;&gt;0)</f>
        <v>1</v>
      </c>
      <c r="P958">
        <f>NETWORKDAYS(Table1[[#This Row],[ts_event]],Table1[[#This Row],[option_expiry_date]])</f>
        <v>9</v>
      </c>
      <c r="Q958">
        <f>Table1[[#This Row],[Column2]]/252</f>
        <v>3.5714285714285712E-2</v>
      </c>
      <c r="R958" s="2">
        <f>IF(Table1[[#This Row],[CHECK2]]=0,NA(),
-(1/Table1[[#This Row],[T]])*LN((Table1[[#This Row],[S0]]-Table1[[#This Row],[C]]+Table1[[#This Row],[P]])/Table1[[#This Row],[K]])
)</f>
        <v>-1.0993040362167714</v>
      </c>
    </row>
    <row r="959" spans="1:18">
      <c r="A959">
        <v>2</v>
      </c>
      <c r="B959" t="s">
        <v>10</v>
      </c>
      <c r="C959" s="1">
        <v>46157</v>
      </c>
      <c r="D959" t="s">
        <v>14</v>
      </c>
      <c r="E959">
        <v>48</v>
      </c>
      <c r="F959" t="s">
        <v>12</v>
      </c>
      <c r="G959" t="s">
        <v>13</v>
      </c>
      <c r="H959" s="1">
        <v>46169</v>
      </c>
      <c r="I959">
        <v>2.36</v>
      </c>
      <c r="J959">
        <v>3.3</v>
      </c>
      <c r="K959">
        <v>260</v>
      </c>
      <c r="L959">
        <v>15</v>
      </c>
      <c r="M959">
        <v>50.966962340823699</v>
      </c>
      <c r="N959">
        <v>1.931</v>
      </c>
      <c r="O959">
        <f>(Table1[[#This Row],[P]]&lt;&gt;0)*(Table1[[#This Row],[C]]&lt;&gt;0)</f>
        <v>1</v>
      </c>
      <c r="P959">
        <f>NETWORKDAYS(Table1[[#This Row],[ts_event]],Table1[[#This Row],[option_expiry_date]])</f>
        <v>9</v>
      </c>
      <c r="Q959">
        <f>Table1[[#This Row],[Column2]]/252</f>
        <v>3.5714285714285712E-2</v>
      </c>
      <c r="R959" s="2">
        <f>IF(Table1[[#This Row],[CHECK2]]=0,NA(),
-(1/Table1[[#This Row],[T]])*LN((Table1[[#This Row],[S0]]-Table1[[#This Row],[C]]+Table1[[#This Row],[P]])/Table1[[#This Row],[K]])
)</f>
        <v>-1.1581106878715426</v>
      </c>
    </row>
    <row r="960" spans="1:18">
      <c r="A960">
        <v>1</v>
      </c>
      <c r="B960" t="s">
        <v>10</v>
      </c>
      <c r="C960" s="1">
        <v>46157</v>
      </c>
      <c r="D960" t="s">
        <v>14</v>
      </c>
      <c r="E960">
        <v>49</v>
      </c>
      <c r="F960" t="s">
        <v>12</v>
      </c>
      <c r="G960" t="s">
        <v>13</v>
      </c>
      <c r="H960" s="1">
        <v>46169</v>
      </c>
      <c r="I960">
        <v>3</v>
      </c>
      <c r="J960">
        <v>0</v>
      </c>
      <c r="K960">
        <v>50</v>
      </c>
      <c r="L960">
        <v>0</v>
      </c>
      <c r="M960">
        <v>50.966962340823699</v>
      </c>
      <c r="N960">
        <v>1.931</v>
      </c>
      <c r="O960">
        <f>(Table1[[#This Row],[P]]&lt;&gt;0)*(Table1[[#This Row],[C]]&lt;&gt;0)</f>
        <v>0</v>
      </c>
      <c r="P960">
        <f>NETWORKDAYS(Table1[[#This Row],[ts_event]],Table1[[#This Row],[option_expiry_date]])</f>
        <v>9</v>
      </c>
      <c r="Q960">
        <f>Table1[[#This Row],[Column2]]/252</f>
        <v>3.5714285714285712E-2</v>
      </c>
      <c r="R960" s="2" t="e">
        <f>IF(Table1[[#This Row],[CHECK2]]=0,NA(),
-(1/Table1[[#This Row],[T]])*LN((Table1[[#This Row],[S0]]-Table1[[#This Row],[C]]+Table1[[#This Row],[P]])/Table1[[#This Row],[K]])
)</f>
        <v>#N/A</v>
      </c>
    </row>
    <row r="961" spans="1:18">
      <c r="A961">
        <v>3</v>
      </c>
      <c r="B961" t="s">
        <v>10</v>
      </c>
      <c r="C961" s="1">
        <v>46157</v>
      </c>
      <c r="D961" t="s">
        <v>14</v>
      </c>
      <c r="E961">
        <v>50</v>
      </c>
      <c r="F961" t="s">
        <v>12</v>
      </c>
      <c r="G961" t="s">
        <v>13</v>
      </c>
      <c r="H961" s="1">
        <v>46169</v>
      </c>
      <c r="I961">
        <v>2.83</v>
      </c>
      <c r="J961">
        <v>2.9416504854368899</v>
      </c>
      <c r="K961">
        <v>3435</v>
      </c>
      <c r="L961">
        <v>1545</v>
      </c>
      <c r="M961">
        <v>50.966962340823699</v>
      </c>
      <c r="N961">
        <v>1.931</v>
      </c>
      <c r="O961">
        <f>(Table1[[#This Row],[P]]&lt;&gt;0)*(Table1[[#This Row],[C]]&lt;&gt;0)</f>
        <v>1</v>
      </c>
      <c r="P961">
        <f>NETWORKDAYS(Table1[[#This Row],[ts_event]],Table1[[#This Row],[option_expiry_date]])</f>
        <v>9</v>
      </c>
      <c r="Q961">
        <f>Table1[[#This Row],[Column2]]/252</f>
        <v>3.5714285714285712E-2</v>
      </c>
      <c r="R961" s="2">
        <f>IF(Table1[[#This Row],[CHECK2]]=0,NA(),
-(1/Table1[[#This Row],[T]])*LN((Table1[[#This Row],[S0]]-Table1[[#This Row],[C]]+Table1[[#This Row],[P]])/Table1[[#This Row],[K]])
)</f>
        <v>-0.47492404055419013</v>
      </c>
    </row>
    <row r="962" spans="1:18">
      <c r="A962">
        <v>2</v>
      </c>
      <c r="B962" t="s">
        <v>10</v>
      </c>
      <c r="C962" s="1">
        <v>46157</v>
      </c>
      <c r="D962" t="s">
        <v>14</v>
      </c>
      <c r="E962">
        <v>51</v>
      </c>
      <c r="F962" t="s">
        <v>12</v>
      </c>
      <c r="G962" t="s">
        <v>13</v>
      </c>
      <c r="H962" s="1">
        <v>46169</v>
      </c>
      <c r="I962">
        <v>3.4649999999999999</v>
      </c>
      <c r="J962">
        <v>2.57</v>
      </c>
      <c r="K962">
        <v>50</v>
      </c>
      <c r="L962">
        <v>50</v>
      </c>
      <c r="M962">
        <v>50.966962340823699</v>
      </c>
      <c r="N962">
        <v>1.931</v>
      </c>
      <c r="O962">
        <f>(Table1[[#This Row],[P]]&lt;&gt;0)*(Table1[[#This Row],[C]]&lt;&gt;0)</f>
        <v>1</v>
      </c>
      <c r="P962">
        <f>NETWORKDAYS(Table1[[#This Row],[ts_event]],Table1[[#This Row],[option_expiry_date]])</f>
        <v>9</v>
      </c>
      <c r="Q962">
        <f>Table1[[#This Row],[Column2]]/252</f>
        <v>3.5714285714285712E-2</v>
      </c>
      <c r="R962" s="2">
        <f>IF(Table1[[#This Row],[CHECK2]]=0,NA(),
-(1/Table1[[#This Row],[T]])*LN((Table1[[#This Row],[S0]]-Table1[[#This Row],[C]]+Table1[[#This Row],[P]])/Table1[[#This Row],[K]])
)</f>
        <v>-0.46927960432095173</v>
      </c>
    </row>
    <row r="963" spans="1:18">
      <c r="A963">
        <v>2</v>
      </c>
      <c r="B963" t="s">
        <v>10</v>
      </c>
      <c r="C963" s="1">
        <v>46157</v>
      </c>
      <c r="D963" t="s">
        <v>14</v>
      </c>
      <c r="E963">
        <v>52</v>
      </c>
      <c r="F963" t="s">
        <v>12</v>
      </c>
      <c r="G963" t="s">
        <v>13</v>
      </c>
      <c r="H963" s="1">
        <v>46169</v>
      </c>
      <c r="I963">
        <v>0</v>
      </c>
      <c r="J963">
        <v>2.2507633587786202</v>
      </c>
      <c r="K963">
        <v>0</v>
      </c>
      <c r="L963">
        <v>1310</v>
      </c>
      <c r="M963">
        <v>50.966962340823699</v>
      </c>
      <c r="N963">
        <v>1.931</v>
      </c>
      <c r="O963">
        <f>(Table1[[#This Row],[P]]&lt;&gt;0)*(Table1[[#This Row],[C]]&lt;&gt;0)</f>
        <v>0</v>
      </c>
      <c r="P963">
        <f>NETWORKDAYS(Table1[[#This Row],[ts_event]],Table1[[#This Row],[option_expiry_date]])</f>
        <v>9</v>
      </c>
      <c r="Q963">
        <f>Table1[[#This Row],[Column2]]/252</f>
        <v>3.5714285714285712E-2</v>
      </c>
      <c r="R963" s="2" t="e">
        <f>IF(Table1[[#This Row],[CHECK2]]=0,NA(),
-(1/Table1[[#This Row],[T]])*LN((Table1[[#This Row],[S0]]-Table1[[#This Row],[C]]+Table1[[#This Row],[P]])/Table1[[#This Row],[K]])
)</f>
        <v>#N/A</v>
      </c>
    </row>
    <row r="964" spans="1:18">
      <c r="A964">
        <v>1</v>
      </c>
      <c r="B964" t="s">
        <v>10</v>
      </c>
      <c r="C964" s="1">
        <v>46157</v>
      </c>
      <c r="D964" t="s">
        <v>14</v>
      </c>
      <c r="E964">
        <v>55</v>
      </c>
      <c r="F964" t="s">
        <v>12</v>
      </c>
      <c r="G964" t="s">
        <v>13</v>
      </c>
      <c r="H964" s="1">
        <v>46169</v>
      </c>
      <c r="I964">
        <v>0</v>
      </c>
      <c r="J964">
        <v>1.6</v>
      </c>
      <c r="K964">
        <v>0</v>
      </c>
      <c r="L964">
        <v>2525</v>
      </c>
      <c r="M964">
        <v>50.966962340823699</v>
      </c>
      <c r="N964">
        <v>1.931</v>
      </c>
      <c r="O964">
        <f>(Table1[[#This Row],[P]]&lt;&gt;0)*(Table1[[#This Row],[C]]&lt;&gt;0)</f>
        <v>0</v>
      </c>
      <c r="P964">
        <f>NETWORKDAYS(Table1[[#This Row],[ts_event]],Table1[[#This Row],[option_expiry_date]])</f>
        <v>9</v>
      </c>
      <c r="Q964">
        <f>Table1[[#This Row],[Column2]]/252</f>
        <v>3.5714285714285712E-2</v>
      </c>
      <c r="R964" s="2" t="e">
        <f>IF(Table1[[#This Row],[CHECK2]]=0,NA(),
-(1/Table1[[#This Row],[T]])*LN((Table1[[#This Row],[S0]]-Table1[[#This Row],[C]]+Table1[[#This Row],[P]])/Table1[[#This Row],[K]])
)</f>
        <v>#N/A</v>
      </c>
    </row>
    <row r="965" spans="1:18">
      <c r="A965">
        <v>1</v>
      </c>
      <c r="B965" t="s">
        <v>10</v>
      </c>
      <c r="C965" s="1">
        <v>46157</v>
      </c>
      <c r="D965" t="s">
        <v>14</v>
      </c>
      <c r="E965">
        <v>57</v>
      </c>
      <c r="F965" t="s">
        <v>12</v>
      </c>
      <c r="G965" t="s">
        <v>13</v>
      </c>
      <c r="H965" s="1">
        <v>46169</v>
      </c>
      <c r="I965">
        <v>0</v>
      </c>
      <c r="J965">
        <v>1.1499999999999999</v>
      </c>
      <c r="K965">
        <v>0</v>
      </c>
      <c r="L965">
        <v>60</v>
      </c>
      <c r="M965">
        <v>50.966962340823699</v>
      </c>
      <c r="N965">
        <v>1.931</v>
      </c>
      <c r="O965">
        <f>(Table1[[#This Row],[P]]&lt;&gt;0)*(Table1[[#This Row],[C]]&lt;&gt;0)</f>
        <v>0</v>
      </c>
      <c r="P965">
        <f>NETWORKDAYS(Table1[[#This Row],[ts_event]],Table1[[#This Row],[option_expiry_date]])</f>
        <v>9</v>
      </c>
      <c r="Q965">
        <f>Table1[[#This Row],[Column2]]/252</f>
        <v>3.5714285714285712E-2</v>
      </c>
      <c r="R965" s="2" t="e">
        <f>IF(Table1[[#This Row],[CHECK2]]=0,NA(),
-(1/Table1[[#This Row],[T]])*LN((Table1[[#This Row],[S0]]-Table1[[#This Row],[C]]+Table1[[#This Row],[P]])/Table1[[#This Row],[K]])
)</f>
        <v>#N/A</v>
      </c>
    </row>
    <row r="966" spans="1:18">
      <c r="A966">
        <v>2</v>
      </c>
      <c r="B966" t="s">
        <v>10</v>
      </c>
      <c r="C966" s="1">
        <v>46157</v>
      </c>
      <c r="D966" t="s">
        <v>14</v>
      </c>
      <c r="E966">
        <v>60</v>
      </c>
      <c r="F966" t="s">
        <v>12</v>
      </c>
      <c r="G966" t="s">
        <v>13</v>
      </c>
      <c r="H966" s="1">
        <v>46169</v>
      </c>
      <c r="I966">
        <v>0</v>
      </c>
      <c r="J966">
        <v>0.80302325581395295</v>
      </c>
      <c r="K966">
        <v>0</v>
      </c>
      <c r="L966">
        <v>2150</v>
      </c>
      <c r="M966">
        <v>50.966962340823699</v>
      </c>
      <c r="N966">
        <v>1.931</v>
      </c>
      <c r="O966">
        <f>(Table1[[#This Row],[P]]&lt;&gt;0)*(Table1[[#This Row],[C]]&lt;&gt;0)</f>
        <v>0</v>
      </c>
      <c r="P966">
        <f>NETWORKDAYS(Table1[[#This Row],[ts_event]],Table1[[#This Row],[option_expiry_date]])</f>
        <v>9</v>
      </c>
      <c r="Q966">
        <f>Table1[[#This Row],[Column2]]/252</f>
        <v>3.5714285714285712E-2</v>
      </c>
      <c r="R966" s="2" t="e">
        <f>IF(Table1[[#This Row],[CHECK2]]=0,NA(),
-(1/Table1[[#This Row],[T]])*LN((Table1[[#This Row],[S0]]-Table1[[#This Row],[C]]+Table1[[#This Row],[P]])/Table1[[#This Row],[K]])
)</f>
        <v>#N/A</v>
      </c>
    </row>
    <row r="967" spans="1:18">
      <c r="A967">
        <v>1</v>
      </c>
      <c r="B967" t="s">
        <v>10</v>
      </c>
      <c r="C967" s="1">
        <v>46157</v>
      </c>
      <c r="D967" t="s">
        <v>14</v>
      </c>
      <c r="E967">
        <v>65</v>
      </c>
      <c r="F967" t="s">
        <v>12</v>
      </c>
      <c r="G967" t="s">
        <v>13</v>
      </c>
      <c r="H967" s="1">
        <v>46169</v>
      </c>
      <c r="I967">
        <v>0</v>
      </c>
      <c r="J967">
        <v>0.4</v>
      </c>
      <c r="K967">
        <v>0</v>
      </c>
      <c r="L967">
        <v>20</v>
      </c>
      <c r="M967">
        <v>50.966962340823699</v>
      </c>
      <c r="N967">
        <v>1.931</v>
      </c>
      <c r="O967">
        <f>(Table1[[#This Row],[P]]&lt;&gt;0)*(Table1[[#This Row],[C]]&lt;&gt;0)</f>
        <v>0</v>
      </c>
      <c r="P967">
        <f>NETWORKDAYS(Table1[[#This Row],[ts_event]],Table1[[#This Row],[option_expiry_date]])</f>
        <v>9</v>
      </c>
      <c r="Q967">
        <f>Table1[[#This Row],[Column2]]/252</f>
        <v>3.5714285714285712E-2</v>
      </c>
      <c r="R967" s="2" t="e">
        <f>IF(Table1[[#This Row],[CHECK2]]=0,NA(),
-(1/Table1[[#This Row],[T]])*LN((Table1[[#This Row],[S0]]-Table1[[#This Row],[C]]+Table1[[#This Row],[P]])/Table1[[#This Row],[K]])
)</f>
        <v>#N/A</v>
      </c>
    </row>
    <row r="968" spans="1:18">
      <c r="A968">
        <v>2</v>
      </c>
      <c r="B968" t="s">
        <v>10</v>
      </c>
      <c r="C968" s="1">
        <v>46157</v>
      </c>
      <c r="D968" t="s">
        <v>14</v>
      </c>
      <c r="E968">
        <v>70</v>
      </c>
      <c r="F968" t="s">
        <v>12</v>
      </c>
      <c r="G968" t="s">
        <v>13</v>
      </c>
      <c r="H968" s="1">
        <v>46169</v>
      </c>
      <c r="I968">
        <v>0</v>
      </c>
      <c r="J968">
        <v>0.27333333333333298</v>
      </c>
      <c r="K968">
        <v>0</v>
      </c>
      <c r="L968">
        <v>975</v>
      </c>
      <c r="M968">
        <v>50.966962340823699</v>
      </c>
      <c r="N968">
        <v>1.931</v>
      </c>
      <c r="O968">
        <f>(Table1[[#This Row],[P]]&lt;&gt;0)*(Table1[[#This Row],[C]]&lt;&gt;0)</f>
        <v>0</v>
      </c>
      <c r="P968">
        <f>NETWORKDAYS(Table1[[#This Row],[ts_event]],Table1[[#This Row],[option_expiry_date]])</f>
        <v>9</v>
      </c>
      <c r="Q968">
        <f>Table1[[#This Row],[Column2]]/252</f>
        <v>3.5714285714285712E-2</v>
      </c>
      <c r="R968" s="2" t="e">
        <f>IF(Table1[[#This Row],[CHECK2]]=0,NA(),
-(1/Table1[[#This Row],[T]])*LN((Table1[[#This Row],[S0]]-Table1[[#This Row],[C]]+Table1[[#This Row],[P]])/Table1[[#This Row],[K]])
)</f>
        <v>#N/A</v>
      </c>
    </row>
    <row r="969" spans="1:18">
      <c r="A969">
        <v>1</v>
      </c>
      <c r="B969" t="s">
        <v>10</v>
      </c>
      <c r="C969" s="1">
        <v>46157</v>
      </c>
      <c r="D969" t="s">
        <v>14</v>
      </c>
      <c r="E969">
        <v>75</v>
      </c>
      <c r="F969" t="s">
        <v>12</v>
      </c>
      <c r="G969" t="s">
        <v>13</v>
      </c>
      <c r="H969" s="1">
        <v>46169</v>
      </c>
      <c r="I969">
        <v>0</v>
      </c>
      <c r="J969">
        <v>0.16500000000000001</v>
      </c>
      <c r="K969">
        <v>0</v>
      </c>
      <c r="L969">
        <v>650</v>
      </c>
      <c r="M969">
        <v>50.966962340823699</v>
      </c>
      <c r="N969">
        <v>1.931</v>
      </c>
      <c r="O969">
        <f>(Table1[[#This Row],[P]]&lt;&gt;0)*(Table1[[#This Row],[C]]&lt;&gt;0)</f>
        <v>0</v>
      </c>
      <c r="P969">
        <f>NETWORKDAYS(Table1[[#This Row],[ts_event]],Table1[[#This Row],[option_expiry_date]])</f>
        <v>9</v>
      </c>
      <c r="Q969">
        <f>Table1[[#This Row],[Column2]]/252</f>
        <v>3.5714285714285712E-2</v>
      </c>
      <c r="R969" s="2" t="e">
        <f>IF(Table1[[#This Row],[CHECK2]]=0,NA(),
-(1/Table1[[#This Row],[T]])*LN((Table1[[#This Row],[S0]]-Table1[[#This Row],[C]]+Table1[[#This Row],[P]])/Table1[[#This Row],[K]])
)</f>
        <v>#N/A</v>
      </c>
    </row>
    <row r="970" spans="1:18">
      <c r="A970">
        <v>1</v>
      </c>
      <c r="B970" t="s">
        <v>10</v>
      </c>
      <c r="C970" s="1">
        <v>46157</v>
      </c>
      <c r="D970" t="s">
        <v>15</v>
      </c>
      <c r="E970">
        <v>35</v>
      </c>
      <c r="F970" t="s">
        <v>12</v>
      </c>
      <c r="G970" t="s">
        <v>13</v>
      </c>
      <c r="H970" s="1">
        <v>46199</v>
      </c>
      <c r="I970">
        <v>0.32500000000000001</v>
      </c>
      <c r="J970">
        <v>0</v>
      </c>
      <c r="K970">
        <v>1600</v>
      </c>
      <c r="L970">
        <v>0</v>
      </c>
      <c r="M970">
        <v>51.010354692900798</v>
      </c>
      <c r="N970">
        <v>1.931</v>
      </c>
      <c r="O970">
        <f>(Table1[[#This Row],[P]]&lt;&gt;0)*(Table1[[#This Row],[C]]&lt;&gt;0)</f>
        <v>0</v>
      </c>
      <c r="P970">
        <f>NETWORKDAYS(Table1[[#This Row],[ts_event]],Table1[[#This Row],[option_expiry_date]])</f>
        <v>31</v>
      </c>
      <c r="Q970">
        <f>Table1[[#This Row],[Column2]]/252</f>
        <v>0.12301587301587301</v>
      </c>
      <c r="R970" s="2" t="e">
        <f>IF(Table1[[#This Row],[CHECK2]]=0,NA(),
-(1/Table1[[#This Row],[T]])*LN((Table1[[#This Row],[S0]]-Table1[[#This Row],[C]]+Table1[[#This Row],[P]])/Table1[[#This Row],[K]])
)</f>
        <v>#N/A</v>
      </c>
    </row>
    <row r="971" spans="1:18">
      <c r="A971">
        <v>1</v>
      </c>
      <c r="B971" t="s">
        <v>10</v>
      </c>
      <c r="C971" s="1">
        <v>46157</v>
      </c>
      <c r="D971" t="s">
        <v>15</v>
      </c>
      <c r="E971">
        <v>36</v>
      </c>
      <c r="F971" t="s">
        <v>12</v>
      </c>
      <c r="G971" t="s">
        <v>13</v>
      </c>
      <c r="H971" s="1">
        <v>46199</v>
      </c>
      <c r="I971">
        <v>0.46500000000000002</v>
      </c>
      <c r="J971">
        <v>0</v>
      </c>
      <c r="K971">
        <v>50</v>
      </c>
      <c r="L971">
        <v>0</v>
      </c>
      <c r="M971">
        <v>51.010354692900798</v>
      </c>
      <c r="N971">
        <v>1.931</v>
      </c>
      <c r="O971">
        <f>(Table1[[#This Row],[P]]&lt;&gt;0)*(Table1[[#This Row],[C]]&lt;&gt;0)</f>
        <v>0</v>
      </c>
      <c r="P971">
        <f>NETWORKDAYS(Table1[[#This Row],[ts_event]],Table1[[#This Row],[option_expiry_date]])</f>
        <v>31</v>
      </c>
      <c r="Q971">
        <f>Table1[[#This Row],[Column2]]/252</f>
        <v>0.12301587301587301</v>
      </c>
      <c r="R971" s="2" t="e">
        <f>IF(Table1[[#This Row],[CHECK2]]=0,NA(),
-(1/Table1[[#This Row],[T]])*LN((Table1[[#This Row],[S0]]-Table1[[#This Row],[C]]+Table1[[#This Row],[P]])/Table1[[#This Row],[K]])
)</f>
        <v>#N/A</v>
      </c>
    </row>
    <row r="972" spans="1:18">
      <c r="A972">
        <v>1</v>
      </c>
      <c r="B972" t="s">
        <v>10</v>
      </c>
      <c r="C972" s="1">
        <v>46157</v>
      </c>
      <c r="D972" t="s">
        <v>15</v>
      </c>
      <c r="E972">
        <v>37</v>
      </c>
      <c r="F972" t="s">
        <v>12</v>
      </c>
      <c r="G972" t="s">
        <v>13</v>
      </c>
      <c r="H972" s="1">
        <v>46199</v>
      </c>
      <c r="I972">
        <v>0.57999999999999996</v>
      </c>
      <c r="J972">
        <v>0</v>
      </c>
      <c r="K972">
        <v>350</v>
      </c>
      <c r="L972">
        <v>0</v>
      </c>
      <c r="M972">
        <v>51.010354692900798</v>
      </c>
      <c r="N972">
        <v>1.931</v>
      </c>
      <c r="O972">
        <f>(Table1[[#This Row],[P]]&lt;&gt;0)*(Table1[[#This Row],[C]]&lt;&gt;0)</f>
        <v>0</v>
      </c>
      <c r="P972">
        <f>NETWORKDAYS(Table1[[#This Row],[ts_event]],Table1[[#This Row],[option_expiry_date]])</f>
        <v>31</v>
      </c>
      <c r="Q972">
        <f>Table1[[#This Row],[Column2]]/252</f>
        <v>0.12301587301587301</v>
      </c>
      <c r="R972" s="2" t="e">
        <f>IF(Table1[[#This Row],[CHECK2]]=0,NA(),
-(1/Table1[[#This Row],[T]])*LN((Table1[[#This Row],[S0]]-Table1[[#This Row],[C]]+Table1[[#This Row],[P]])/Table1[[#This Row],[K]])
)</f>
        <v>#N/A</v>
      </c>
    </row>
    <row r="973" spans="1:18">
      <c r="A973">
        <v>1</v>
      </c>
      <c r="B973" t="s">
        <v>10</v>
      </c>
      <c r="C973" s="1">
        <v>46157</v>
      </c>
      <c r="D973" t="s">
        <v>15</v>
      </c>
      <c r="E973">
        <v>38</v>
      </c>
      <c r="F973" t="s">
        <v>12</v>
      </c>
      <c r="G973" t="s">
        <v>13</v>
      </c>
      <c r="H973" s="1">
        <v>46199</v>
      </c>
      <c r="I973">
        <v>0.67500000000000004</v>
      </c>
      <c r="J973">
        <v>0</v>
      </c>
      <c r="K973">
        <v>900</v>
      </c>
      <c r="L973">
        <v>0</v>
      </c>
      <c r="M973">
        <v>51.010354692900798</v>
      </c>
      <c r="N973">
        <v>1.931</v>
      </c>
      <c r="O973">
        <f>(Table1[[#This Row],[P]]&lt;&gt;0)*(Table1[[#This Row],[C]]&lt;&gt;0)</f>
        <v>0</v>
      </c>
      <c r="P973">
        <f>NETWORKDAYS(Table1[[#This Row],[ts_event]],Table1[[#This Row],[option_expiry_date]])</f>
        <v>31</v>
      </c>
      <c r="Q973">
        <f>Table1[[#This Row],[Column2]]/252</f>
        <v>0.12301587301587301</v>
      </c>
      <c r="R973" s="2" t="e">
        <f>IF(Table1[[#This Row],[CHECK2]]=0,NA(),
-(1/Table1[[#This Row],[T]])*LN((Table1[[#This Row],[S0]]-Table1[[#This Row],[C]]+Table1[[#This Row],[P]])/Table1[[#This Row],[K]])
)</f>
        <v>#N/A</v>
      </c>
    </row>
    <row r="974" spans="1:18">
      <c r="A974">
        <v>2</v>
      </c>
      <c r="B974" t="s">
        <v>10</v>
      </c>
      <c r="C974" s="1">
        <v>46157</v>
      </c>
      <c r="D974" t="s">
        <v>15</v>
      </c>
      <c r="E974">
        <v>40</v>
      </c>
      <c r="F974" t="s">
        <v>12</v>
      </c>
      <c r="G974" t="s">
        <v>13</v>
      </c>
      <c r="H974" s="1">
        <v>46199</v>
      </c>
      <c r="I974">
        <v>1.17608695652173</v>
      </c>
      <c r="J974">
        <v>0</v>
      </c>
      <c r="K974">
        <v>1380</v>
      </c>
      <c r="L974">
        <v>0</v>
      </c>
      <c r="M974">
        <v>51.010354692900798</v>
      </c>
      <c r="N974">
        <v>1.931</v>
      </c>
      <c r="O974">
        <f>(Table1[[#This Row],[P]]&lt;&gt;0)*(Table1[[#This Row],[C]]&lt;&gt;0)</f>
        <v>0</v>
      </c>
      <c r="P974">
        <f>NETWORKDAYS(Table1[[#This Row],[ts_event]],Table1[[#This Row],[option_expiry_date]])</f>
        <v>31</v>
      </c>
      <c r="Q974">
        <f>Table1[[#This Row],[Column2]]/252</f>
        <v>0.12301587301587301</v>
      </c>
      <c r="R974" s="2" t="e">
        <f>IF(Table1[[#This Row],[CHECK2]]=0,NA(),
-(1/Table1[[#This Row],[T]])*LN((Table1[[#This Row],[S0]]-Table1[[#This Row],[C]]+Table1[[#This Row],[P]])/Table1[[#This Row],[K]])
)</f>
        <v>#N/A</v>
      </c>
    </row>
    <row r="975" spans="1:18">
      <c r="A975">
        <v>1</v>
      </c>
      <c r="B975" t="s">
        <v>10</v>
      </c>
      <c r="C975" s="1">
        <v>46157</v>
      </c>
      <c r="D975" t="s">
        <v>15</v>
      </c>
      <c r="E975">
        <v>41</v>
      </c>
      <c r="F975" t="s">
        <v>12</v>
      </c>
      <c r="G975" t="s">
        <v>13</v>
      </c>
      <c r="H975" s="1">
        <v>46199</v>
      </c>
      <c r="I975">
        <v>1.4750000000000001</v>
      </c>
      <c r="J975">
        <v>0</v>
      </c>
      <c r="K975">
        <v>300</v>
      </c>
      <c r="L975">
        <v>0</v>
      </c>
      <c r="M975">
        <v>51.010354692900798</v>
      </c>
      <c r="N975">
        <v>1.931</v>
      </c>
      <c r="O975">
        <f>(Table1[[#This Row],[P]]&lt;&gt;0)*(Table1[[#This Row],[C]]&lt;&gt;0)</f>
        <v>0</v>
      </c>
      <c r="P975">
        <f>NETWORKDAYS(Table1[[#This Row],[ts_event]],Table1[[#This Row],[option_expiry_date]])</f>
        <v>31</v>
      </c>
      <c r="Q975">
        <f>Table1[[#This Row],[Column2]]/252</f>
        <v>0.12301587301587301</v>
      </c>
      <c r="R975" s="2" t="e">
        <f>IF(Table1[[#This Row],[CHECK2]]=0,NA(),
-(1/Table1[[#This Row],[T]])*LN((Table1[[#This Row],[S0]]-Table1[[#This Row],[C]]+Table1[[#This Row],[P]])/Table1[[#This Row],[K]])
)</f>
        <v>#N/A</v>
      </c>
    </row>
    <row r="976" spans="1:18">
      <c r="A976">
        <v>3</v>
      </c>
      <c r="B976" t="s">
        <v>10</v>
      </c>
      <c r="C976" s="1">
        <v>46157</v>
      </c>
      <c r="D976" t="s">
        <v>15</v>
      </c>
      <c r="E976">
        <v>45</v>
      </c>
      <c r="F976" t="s">
        <v>12</v>
      </c>
      <c r="G976" t="s">
        <v>13</v>
      </c>
      <c r="H976" s="1">
        <v>46199</v>
      </c>
      <c r="I976">
        <v>2.5</v>
      </c>
      <c r="J976">
        <v>6.9950000000000001</v>
      </c>
      <c r="K976">
        <v>680</v>
      </c>
      <c r="L976">
        <v>450</v>
      </c>
      <c r="M976">
        <v>51.010354692900798</v>
      </c>
      <c r="N976">
        <v>1.931</v>
      </c>
      <c r="O976">
        <f>(Table1[[#This Row],[P]]&lt;&gt;0)*(Table1[[#This Row],[C]]&lt;&gt;0)</f>
        <v>1</v>
      </c>
      <c r="P976">
        <f>NETWORKDAYS(Table1[[#This Row],[ts_event]],Table1[[#This Row],[option_expiry_date]])</f>
        <v>31</v>
      </c>
      <c r="Q976">
        <f>Table1[[#This Row],[Column2]]/252</f>
        <v>0.12301587301587301</v>
      </c>
      <c r="R976" s="2">
        <f>IF(Table1[[#This Row],[CHECK2]]=0,NA(),
-(1/Table1[[#This Row],[T]])*LN((Table1[[#This Row],[S0]]-Table1[[#This Row],[C]]+Table1[[#This Row],[P]])/Table1[[#This Row],[K]])
)</f>
        <v>-0.26923335951439092</v>
      </c>
    </row>
    <row r="977" spans="1:18">
      <c r="A977">
        <v>1</v>
      </c>
      <c r="B977" t="s">
        <v>10</v>
      </c>
      <c r="C977" s="1">
        <v>46157</v>
      </c>
      <c r="D977" t="s">
        <v>15</v>
      </c>
      <c r="E977">
        <v>48</v>
      </c>
      <c r="F977" t="s">
        <v>12</v>
      </c>
      <c r="G977" t="s">
        <v>13</v>
      </c>
      <c r="H977" s="1">
        <v>46199</v>
      </c>
      <c r="I977">
        <v>4.6500000000000004</v>
      </c>
      <c r="J977">
        <v>0</v>
      </c>
      <c r="K977">
        <v>700</v>
      </c>
      <c r="L977">
        <v>0</v>
      </c>
      <c r="M977">
        <v>51.010354692900798</v>
      </c>
      <c r="N977">
        <v>1.931</v>
      </c>
      <c r="O977">
        <f>(Table1[[#This Row],[P]]&lt;&gt;0)*(Table1[[#This Row],[C]]&lt;&gt;0)</f>
        <v>0</v>
      </c>
      <c r="P977">
        <f>NETWORKDAYS(Table1[[#This Row],[ts_event]],Table1[[#This Row],[option_expiry_date]])</f>
        <v>31</v>
      </c>
      <c r="Q977">
        <f>Table1[[#This Row],[Column2]]/252</f>
        <v>0.12301587301587301</v>
      </c>
      <c r="R977" s="2" t="e">
        <f>IF(Table1[[#This Row],[CHECK2]]=0,NA(),
-(1/Table1[[#This Row],[T]])*LN((Table1[[#This Row],[S0]]-Table1[[#This Row],[C]]+Table1[[#This Row],[P]])/Table1[[#This Row],[K]])
)</f>
        <v>#N/A</v>
      </c>
    </row>
    <row r="978" spans="1:18">
      <c r="A978">
        <v>1</v>
      </c>
      <c r="B978" t="s">
        <v>10</v>
      </c>
      <c r="C978" s="1">
        <v>46157</v>
      </c>
      <c r="D978" t="s">
        <v>15</v>
      </c>
      <c r="E978">
        <v>50</v>
      </c>
      <c r="F978" t="s">
        <v>12</v>
      </c>
      <c r="G978" t="s">
        <v>13</v>
      </c>
      <c r="H978" s="1">
        <v>46199</v>
      </c>
      <c r="I978">
        <v>0</v>
      </c>
      <c r="J978">
        <v>6.02</v>
      </c>
      <c r="K978">
        <v>0</v>
      </c>
      <c r="L978">
        <v>3910</v>
      </c>
      <c r="M978">
        <v>51.010354692900798</v>
      </c>
      <c r="N978">
        <v>1.931</v>
      </c>
      <c r="O978">
        <f>(Table1[[#This Row],[P]]&lt;&gt;0)*(Table1[[#This Row],[C]]&lt;&gt;0)</f>
        <v>0</v>
      </c>
      <c r="P978">
        <f>NETWORKDAYS(Table1[[#This Row],[ts_event]],Table1[[#This Row],[option_expiry_date]])</f>
        <v>31</v>
      </c>
      <c r="Q978">
        <f>Table1[[#This Row],[Column2]]/252</f>
        <v>0.12301587301587301</v>
      </c>
      <c r="R978" s="2" t="e">
        <f>IF(Table1[[#This Row],[CHECK2]]=0,NA(),
-(1/Table1[[#This Row],[T]])*LN((Table1[[#This Row],[S0]]-Table1[[#This Row],[C]]+Table1[[#This Row],[P]])/Table1[[#This Row],[K]])
)</f>
        <v>#N/A</v>
      </c>
    </row>
    <row r="979" spans="1:18">
      <c r="A979">
        <v>1</v>
      </c>
      <c r="B979" t="s">
        <v>10</v>
      </c>
      <c r="C979" s="1">
        <v>46157</v>
      </c>
      <c r="D979" t="s">
        <v>15</v>
      </c>
      <c r="E979">
        <v>51</v>
      </c>
      <c r="F979" t="s">
        <v>12</v>
      </c>
      <c r="G979" t="s">
        <v>13</v>
      </c>
      <c r="H979" s="1">
        <v>46199</v>
      </c>
      <c r="I979">
        <v>0</v>
      </c>
      <c r="J979">
        <v>5.2450000000000001</v>
      </c>
      <c r="K979">
        <v>0</v>
      </c>
      <c r="L979">
        <v>100</v>
      </c>
      <c r="M979">
        <v>51.010354692900798</v>
      </c>
      <c r="N979">
        <v>1.931</v>
      </c>
      <c r="O979">
        <f>(Table1[[#This Row],[P]]&lt;&gt;0)*(Table1[[#This Row],[C]]&lt;&gt;0)</f>
        <v>0</v>
      </c>
      <c r="P979">
        <f>NETWORKDAYS(Table1[[#This Row],[ts_event]],Table1[[#This Row],[option_expiry_date]])</f>
        <v>31</v>
      </c>
      <c r="Q979">
        <f>Table1[[#This Row],[Column2]]/252</f>
        <v>0.12301587301587301</v>
      </c>
      <c r="R979" s="2" t="e">
        <f>IF(Table1[[#This Row],[CHECK2]]=0,NA(),
-(1/Table1[[#This Row],[T]])*LN((Table1[[#This Row],[S0]]-Table1[[#This Row],[C]]+Table1[[#This Row],[P]])/Table1[[#This Row],[K]])
)</f>
        <v>#N/A</v>
      </c>
    </row>
    <row r="980" spans="1:18">
      <c r="A980">
        <v>1</v>
      </c>
      <c r="B980" t="s">
        <v>10</v>
      </c>
      <c r="C980" s="1">
        <v>46157</v>
      </c>
      <c r="D980" t="s">
        <v>15</v>
      </c>
      <c r="E980">
        <v>53</v>
      </c>
      <c r="F980" t="s">
        <v>12</v>
      </c>
      <c r="G980" t="s">
        <v>13</v>
      </c>
      <c r="H980" s="1">
        <v>46199</v>
      </c>
      <c r="I980">
        <v>0</v>
      </c>
      <c r="J980">
        <v>4.6550000000000002</v>
      </c>
      <c r="K980">
        <v>0</v>
      </c>
      <c r="L980">
        <v>100</v>
      </c>
      <c r="M980">
        <v>51.010354692900798</v>
      </c>
      <c r="N980">
        <v>1.931</v>
      </c>
      <c r="O980">
        <f>(Table1[[#This Row],[P]]&lt;&gt;0)*(Table1[[#This Row],[C]]&lt;&gt;0)</f>
        <v>0</v>
      </c>
      <c r="P980">
        <f>NETWORKDAYS(Table1[[#This Row],[ts_event]],Table1[[#This Row],[option_expiry_date]])</f>
        <v>31</v>
      </c>
      <c r="Q980">
        <f>Table1[[#This Row],[Column2]]/252</f>
        <v>0.12301587301587301</v>
      </c>
      <c r="R980" s="2" t="e">
        <f>IF(Table1[[#This Row],[CHECK2]]=0,NA(),
-(1/Table1[[#This Row],[T]])*LN((Table1[[#This Row],[S0]]-Table1[[#This Row],[C]]+Table1[[#This Row],[P]])/Table1[[#This Row],[K]])
)</f>
        <v>#N/A</v>
      </c>
    </row>
    <row r="981" spans="1:18">
      <c r="A981">
        <v>1</v>
      </c>
      <c r="B981" t="s">
        <v>10</v>
      </c>
      <c r="C981" s="1">
        <v>46157</v>
      </c>
      <c r="D981" t="s">
        <v>15</v>
      </c>
      <c r="E981">
        <v>55</v>
      </c>
      <c r="F981" t="s">
        <v>12</v>
      </c>
      <c r="G981" t="s">
        <v>13</v>
      </c>
      <c r="H981" s="1">
        <v>46199</v>
      </c>
      <c r="I981">
        <v>0</v>
      </c>
      <c r="J981">
        <v>3.77</v>
      </c>
      <c r="K981">
        <v>0</v>
      </c>
      <c r="L981">
        <v>625</v>
      </c>
      <c r="M981">
        <v>51.010354692900798</v>
      </c>
      <c r="N981">
        <v>1.931</v>
      </c>
      <c r="O981">
        <f>(Table1[[#This Row],[P]]&lt;&gt;0)*(Table1[[#This Row],[C]]&lt;&gt;0)</f>
        <v>0</v>
      </c>
      <c r="P981">
        <f>NETWORKDAYS(Table1[[#This Row],[ts_event]],Table1[[#This Row],[option_expiry_date]])</f>
        <v>31</v>
      </c>
      <c r="Q981">
        <f>Table1[[#This Row],[Column2]]/252</f>
        <v>0.12301587301587301</v>
      </c>
      <c r="R981" s="2" t="e">
        <f>IF(Table1[[#This Row],[CHECK2]]=0,NA(),
-(1/Table1[[#This Row],[T]])*LN((Table1[[#This Row],[S0]]-Table1[[#This Row],[C]]+Table1[[#This Row],[P]])/Table1[[#This Row],[K]])
)</f>
        <v>#N/A</v>
      </c>
    </row>
    <row r="982" spans="1:18">
      <c r="A982">
        <v>2</v>
      </c>
      <c r="B982" t="s">
        <v>10</v>
      </c>
      <c r="C982" s="1">
        <v>46157</v>
      </c>
      <c r="D982" t="s">
        <v>15</v>
      </c>
      <c r="E982">
        <v>60</v>
      </c>
      <c r="F982" t="s">
        <v>12</v>
      </c>
      <c r="G982" t="s">
        <v>13</v>
      </c>
      <c r="H982" s="1">
        <v>46199</v>
      </c>
      <c r="I982">
        <v>0</v>
      </c>
      <c r="J982">
        <v>3.3034035656401901</v>
      </c>
      <c r="K982">
        <v>0</v>
      </c>
      <c r="L982">
        <v>3085</v>
      </c>
      <c r="M982">
        <v>51.010354692900798</v>
      </c>
      <c r="N982">
        <v>1.931</v>
      </c>
      <c r="O982">
        <f>(Table1[[#This Row],[P]]&lt;&gt;0)*(Table1[[#This Row],[C]]&lt;&gt;0)</f>
        <v>0</v>
      </c>
      <c r="P982">
        <f>NETWORKDAYS(Table1[[#This Row],[ts_event]],Table1[[#This Row],[option_expiry_date]])</f>
        <v>31</v>
      </c>
      <c r="Q982">
        <f>Table1[[#This Row],[Column2]]/252</f>
        <v>0.12301587301587301</v>
      </c>
      <c r="R982" s="2" t="e">
        <f>IF(Table1[[#This Row],[CHECK2]]=0,NA(),
-(1/Table1[[#This Row],[T]])*LN((Table1[[#This Row],[S0]]-Table1[[#This Row],[C]]+Table1[[#This Row],[P]])/Table1[[#This Row],[K]])
)</f>
        <v>#N/A</v>
      </c>
    </row>
    <row r="983" spans="1:18">
      <c r="A983">
        <v>1</v>
      </c>
      <c r="B983" t="s">
        <v>10</v>
      </c>
      <c r="C983" s="1">
        <v>46157</v>
      </c>
      <c r="D983" t="s">
        <v>15</v>
      </c>
      <c r="E983">
        <v>63</v>
      </c>
      <c r="F983" t="s">
        <v>12</v>
      </c>
      <c r="G983" t="s">
        <v>13</v>
      </c>
      <c r="H983" s="1">
        <v>46199</v>
      </c>
      <c r="I983">
        <v>0</v>
      </c>
      <c r="J983">
        <v>2.61</v>
      </c>
      <c r="K983">
        <v>0</v>
      </c>
      <c r="L983">
        <v>15</v>
      </c>
      <c r="M983">
        <v>51.010354692900798</v>
      </c>
      <c r="N983">
        <v>1.931</v>
      </c>
      <c r="O983">
        <f>(Table1[[#This Row],[P]]&lt;&gt;0)*(Table1[[#This Row],[C]]&lt;&gt;0)</f>
        <v>0</v>
      </c>
      <c r="P983">
        <f>NETWORKDAYS(Table1[[#This Row],[ts_event]],Table1[[#This Row],[option_expiry_date]])</f>
        <v>31</v>
      </c>
      <c r="Q983">
        <f>Table1[[#This Row],[Column2]]/252</f>
        <v>0.12301587301587301</v>
      </c>
      <c r="R983" s="2" t="e">
        <f>IF(Table1[[#This Row],[CHECK2]]=0,NA(),
-(1/Table1[[#This Row],[T]])*LN((Table1[[#This Row],[S0]]-Table1[[#This Row],[C]]+Table1[[#This Row],[P]])/Table1[[#This Row],[K]])
)</f>
        <v>#N/A</v>
      </c>
    </row>
    <row r="984" spans="1:18">
      <c r="A984">
        <v>2</v>
      </c>
      <c r="B984" t="s">
        <v>10</v>
      </c>
      <c r="C984" s="1">
        <v>46157</v>
      </c>
      <c r="D984" t="s">
        <v>15</v>
      </c>
      <c r="E984">
        <v>65</v>
      </c>
      <c r="F984" t="s">
        <v>12</v>
      </c>
      <c r="G984" t="s">
        <v>13</v>
      </c>
      <c r="H984" s="1">
        <v>46199</v>
      </c>
      <c r="I984">
        <v>0</v>
      </c>
      <c r="J984">
        <v>2.4795260663507102</v>
      </c>
      <c r="K984">
        <v>0</v>
      </c>
      <c r="L984">
        <v>1055</v>
      </c>
      <c r="M984">
        <v>51.010354692900798</v>
      </c>
      <c r="N984">
        <v>1.931</v>
      </c>
      <c r="O984">
        <f>(Table1[[#This Row],[P]]&lt;&gt;0)*(Table1[[#This Row],[C]]&lt;&gt;0)</f>
        <v>0</v>
      </c>
      <c r="P984">
        <f>NETWORKDAYS(Table1[[#This Row],[ts_event]],Table1[[#This Row],[option_expiry_date]])</f>
        <v>31</v>
      </c>
      <c r="Q984">
        <f>Table1[[#This Row],[Column2]]/252</f>
        <v>0.12301587301587301</v>
      </c>
      <c r="R984" s="2" t="e">
        <f>IF(Table1[[#This Row],[CHECK2]]=0,NA(),
-(1/Table1[[#This Row],[T]])*LN((Table1[[#This Row],[S0]]-Table1[[#This Row],[C]]+Table1[[#This Row],[P]])/Table1[[#This Row],[K]])
)</f>
        <v>#N/A</v>
      </c>
    </row>
    <row r="985" spans="1:18">
      <c r="A985">
        <v>1</v>
      </c>
      <c r="B985" t="s">
        <v>10</v>
      </c>
      <c r="C985" s="1">
        <v>46157</v>
      </c>
      <c r="D985" t="s">
        <v>15</v>
      </c>
      <c r="E985">
        <v>68</v>
      </c>
      <c r="F985" t="s">
        <v>12</v>
      </c>
      <c r="G985" t="s">
        <v>13</v>
      </c>
      <c r="H985" s="1">
        <v>46199</v>
      </c>
      <c r="I985">
        <v>0</v>
      </c>
      <c r="J985">
        <v>1.97</v>
      </c>
      <c r="K985">
        <v>0</v>
      </c>
      <c r="L985">
        <v>15</v>
      </c>
      <c r="M985">
        <v>51.010354692900798</v>
      </c>
      <c r="N985">
        <v>1.931</v>
      </c>
      <c r="O985">
        <f>(Table1[[#This Row],[P]]&lt;&gt;0)*(Table1[[#This Row],[C]]&lt;&gt;0)</f>
        <v>0</v>
      </c>
      <c r="P985">
        <f>NETWORKDAYS(Table1[[#This Row],[ts_event]],Table1[[#This Row],[option_expiry_date]])</f>
        <v>31</v>
      </c>
      <c r="Q985">
        <f>Table1[[#This Row],[Column2]]/252</f>
        <v>0.12301587301587301</v>
      </c>
      <c r="R985" s="2" t="e">
        <f>IF(Table1[[#This Row],[CHECK2]]=0,NA(),
-(1/Table1[[#This Row],[T]])*LN((Table1[[#This Row],[S0]]-Table1[[#This Row],[C]]+Table1[[#This Row],[P]])/Table1[[#This Row],[K]])
)</f>
        <v>#N/A</v>
      </c>
    </row>
    <row r="986" spans="1:18">
      <c r="A986">
        <v>1</v>
      </c>
      <c r="B986" t="s">
        <v>10</v>
      </c>
      <c r="C986" s="1">
        <v>46157</v>
      </c>
      <c r="D986" t="s">
        <v>15</v>
      </c>
      <c r="E986">
        <v>70</v>
      </c>
      <c r="F986" t="s">
        <v>12</v>
      </c>
      <c r="G986" t="s">
        <v>13</v>
      </c>
      <c r="H986" s="1">
        <v>46199</v>
      </c>
      <c r="I986">
        <v>0</v>
      </c>
      <c r="J986">
        <v>1.92</v>
      </c>
      <c r="K986">
        <v>0</v>
      </c>
      <c r="L986">
        <v>400</v>
      </c>
      <c r="M986">
        <v>51.010354692900798</v>
      </c>
      <c r="N986">
        <v>1.931</v>
      </c>
      <c r="O986">
        <f>(Table1[[#This Row],[P]]&lt;&gt;0)*(Table1[[#This Row],[C]]&lt;&gt;0)</f>
        <v>0</v>
      </c>
      <c r="P986">
        <f>NETWORKDAYS(Table1[[#This Row],[ts_event]],Table1[[#This Row],[option_expiry_date]])</f>
        <v>31</v>
      </c>
      <c r="Q986">
        <f>Table1[[#This Row],[Column2]]/252</f>
        <v>0.12301587301587301</v>
      </c>
      <c r="R986" s="2" t="e">
        <f>IF(Table1[[#This Row],[CHECK2]]=0,NA(),
-(1/Table1[[#This Row],[T]])*LN((Table1[[#This Row],[S0]]-Table1[[#This Row],[C]]+Table1[[#This Row],[P]])/Table1[[#This Row],[K]])
)</f>
        <v>#N/A</v>
      </c>
    </row>
    <row r="987" spans="1:18">
      <c r="A987">
        <v>1</v>
      </c>
      <c r="B987" t="s">
        <v>10</v>
      </c>
      <c r="C987" s="1">
        <v>46157</v>
      </c>
      <c r="D987" t="s">
        <v>16</v>
      </c>
      <c r="E987">
        <v>35</v>
      </c>
      <c r="F987" t="s">
        <v>12</v>
      </c>
      <c r="G987" t="s">
        <v>13</v>
      </c>
      <c r="H987" s="1">
        <v>46230</v>
      </c>
      <c r="I987">
        <v>0.74</v>
      </c>
      <c r="J987">
        <v>0</v>
      </c>
      <c r="K987">
        <v>1625</v>
      </c>
      <c r="L987">
        <v>0</v>
      </c>
      <c r="M987">
        <v>50.930169310916398</v>
      </c>
      <c r="N987">
        <v>1.931</v>
      </c>
      <c r="O987">
        <f>(Table1[[#This Row],[P]]&lt;&gt;0)*(Table1[[#This Row],[C]]&lt;&gt;0)</f>
        <v>0</v>
      </c>
      <c r="P987">
        <f>NETWORKDAYS(Table1[[#This Row],[ts_event]],Table1[[#This Row],[option_expiry_date]])</f>
        <v>52</v>
      </c>
      <c r="Q987">
        <f>Table1[[#This Row],[Column2]]/252</f>
        <v>0.20634920634920634</v>
      </c>
      <c r="R987" s="2" t="e">
        <f>IF(Table1[[#This Row],[CHECK2]]=0,NA(),
-(1/Table1[[#This Row],[T]])*LN((Table1[[#This Row],[S0]]-Table1[[#This Row],[C]]+Table1[[#This Row],[P]])/Table1[[#This Row],[K]])
)</f>
        <v>#N/A</v>
      </c>
    </row>
    <row r="988" spans="1:18">
      <c r="A988">
        <v>1</v>
      </c>
      <c r="B988" t="s">
        <v>10</v>
      </c>
      <c r="C988" s="1">
        <v>46157</v>
      </c>
      <c r="D988" t="s">
        <v>16</v>
      </c>
      <c r="E988">
        <v>39</v>
      </c>
      <c r="F988" t="s">
        <v>12</v>
      </c>
      <c r="G988" t="s">
        <v>13</v>
      </c>
      <c r="H988" s="1">
        <v>46230</v>
      </c>
      <c r="I988">
        <v>0</v>
      </c>
      <c r="J988">
        <v>11.475</v>
      </c>
      <c r="K988">
        <v>0</v>
      </c>
      <c r="L988">
        <v>550</v>
      </c>
      <c r="M988">
        <v>50.930169310916398</v>
      </c>
      <c r="N988">
        <v>1.931</v>
      </c>
      <c r="O988">
        <f>(Table1[[#This Row],[P]]&lt;&gt;0)*(Table1[[#This Row],[C]]&lt;&gt;0)</f>
        <v>0</v>
      </c>
      <c r="P988">
        <f>NETWORKDAYS(Table1[[#This Row],[ts_event]],Table1[[#This Row],[option_expiry_date]])</f>
        <v>52</v>
      </c>
      <c r="Q988">
        <f>Table1[[#This Row],[Column2]]/252</f>
        <v>0.20634920634920634</v>
      </c>
      <c r="R988" s="2" t="e">
        <f>IF(Table1[[#This Row],[CHECK2]]=0,NA(),
-(1/Table1[[#This Row],[T]])*LN((Table1[[#This Row],[S0]]-Table1[[#This Row],[C]]+Table1[[#This Row],[P]])/Table1[[#This Row],[K]])
)</f>
        <v>#N/A</v>
      </c>
    </row>
    <row r="989" spans="1:18">
      <c r="A989">
        <v>1</v>
      </c>
      <c r="B989" t="s">
        <v>10</v>
      </c>
      <c r="C989" s="1">
        <v>46157</v>
      </c>
      <c r="D989" t="s">
        <v>16</v>
      </c>
      <c r="E989">
        <v>49</v>
      </c>
      <c r="F989" t="s">
        <v>12</v>
      </c>
      <c r="G989" t="s">
        <v>13</v>
      </c>
      <c r="H989" s="1">
        <v>46230</v>
      </c>
      <c r="I989">
        <v>0</v>
      </c>
      <c r="J989">
        <v>6.9</v>
      </c>
      <c r="K989">
        <v>0</v>
      </c>
      <c r="L989">
        <v>550</v>
      </c>
      <c r="M989">
        <v>50.930169310916398</v>
      </c>
      <c r="N989">
        <v>1.931</v>
      </c>
      <c r="O989">
        <f>(Table1[[#This Row],[P]]&lt;&gt;0)*(Table1[[#This Row],[C]]&lt;&gt;0)</f>
        <v>0</v>
      </c>
      <c r="P989">
        <f>NETWORKDAYS(Table1[[#This Row],[ts_event]],Table1[[#This Row],[option_expiry_date]])</f>
        <v>52</v>
      </c>
      <c r="Q989">
        <f>Table1[[#This Row],[Column2]]/252</f>
        <v>0.20634920634920634</v>
      </c>
      <c r="R989" s="2" t="e">
        <f>IF(Table1[[#This Row],[CHECK2]]=0,NA(),
-(1/Table1[[#This Row],[T]])*LN((Table1[[#This Row],[S0]]-Table1[[#This Row],[C]]+Table1[[#This Row],[P]])/Table1[[#This Row],[K]])
)</f>
        <v>#N/A</v>
      </c>
    </row>
    <row r="990" spans="1:18">
      <c r="A990">
        <v>1</v>
      </c>
      <c r="B990" t="s">
        <v>10</v>
      </c>
      <c r="C990" s="1">
        <v>46157</v>
      </c>
      <c r="D990" t="s">
        <v>16</v>
      </c>
      <c r="E990">
        <v>55</v>
      </c>
      <c r="F990" t="s">
        <v>12</v>
      </c>
      <c r="G990" t="s">
        <v>13</v>
      </c>
      <c r="H990" s="1">
        <v>46230</v>
      </c>
      <c r="I990">
        <v>0</v>
      </c>
      <c r="J990">
        <v>5.2</v>
      </c>
      <c r="K990">
        <v>0</v>
      </c>
      <c r="L990">
        <v>525</v>
      </c>
      <c r="M990">
        <v>50.930169310916398</v>
      </c>
      <c r="N990">
        <v>1.931</v>
      </c>
      <c r="O990">
        <f>(Table1[[#This Row],[P]]&lt;&gt;0)*(Table1[[#This Row],[C]]&lt;&gt;0)</f>
        <v>0</v>
      </c>
      <c r="P990">
        <f>NETWORKDAYS(Table1[[#This Row],[ts_event]],Table1[[#This Row],[option_expiry_date]])</f>
        <v>52</v>
      </c>
      <c r="Q990">
        <f>Table1[[#This Row],[Column2]]/252</f>
        <v>0.20634920634920634</v>
      </c>
      <c r="R990" s="2" t="e">
        <f>IF(Table1[[#This Row],[CHECK2]]=0,NA(),
-(1/Table1[[#This Row],[T]])*LN((Table1[[#This Row],[S0]]-Table1[[#This Row],[C]]+Table1[[#This Row],[P]])/Table1[[#This Row],[K]])
)</f>
        <v>#N/A</v>
      </c>
    </row>
    <row r="991" spans="1:18">
      <c r="A991">
        <v>1</v>
      </c>
      <c r="B991" t="s">
        <v>10</v>
      </c>
      <c r="C991" s="1">
        <v>46157</v>
      </c>
      <c r="D991" t="s">
        <v>16</v>
      </c>
      <c r="E991">
        <v>65</v>
      </c>
      <c r="F991" t="s">
        <v>12</v>
      </c>
      <c r="G991" t="s">
        <v>13</v>
      </c>
      <c r="H991" s="1">
        <v>46230</v>
      </c>
      <c r="I991">
        <v>0</v>
      </c>
      <c r="J991">
        <v>3.4249999999999998</v>
      </c>
      <c r="K991">
        <v>0</v>
      </c>
      <c r="L991">
        <v>225</v>
      </c>
      <c r="M991">
        <v>50.930169310916398</v>
      </c>
      <c r="N991">
        <v>1.931</v>
      </c>
      <c r="O991">
        <f>(Table1[[#This Row],[P]]&lt;&gt;0)*(Table1[[#This Row],[C]]&lt;&gt;0)</f>
        <v>0</v>
      </c>
      <c r="P991">
        <f>NETWORKDAYS(Table1[[#This Row],[ts_event]],Table1[[#This Row],[option_expiry_date]])</f>
        <v>52</v>
      </c>
      <c r="Q991">
        <f>Table1[[#This Row],[Column2]]/252</f>
        <v>0.20634920634920634</v>
      </c>
      <c r="R991" s="2" t="e">
        <f>IF(Table1[[#This Row],[CHECK2]]=0,NA(),
-(1/Table1[[#This Row],[T]])*LN((Table1[[#This Row],[S0]]-Table1[[#This Row],[C]]+Table1[[#This Row],[P]])/Table1[[#This Row],[K]])
)</f>
        <v>#N/A</v>
      </c>
    </row>
    <row r="992" spans="1:18">
      <c r="A992">
        <v>1</v>
      </c>
      <c r="B992" t="s">
        <v>10</v>
      </c>
      <c r="C992" s="1">
        <v>46157</v>
      </c>
      <c r="D992" t="s">
        <v>16</v>
      </c>
      <c r="E992">
        <v>75</v>
      </c>
      <c r="F992" t="s">
        <v>12</v>
      </c>
      <c r="G992" t="s">
        <v>13</v>
      </c>
      <c r="H992" s="1">
        <v>46230</v>
      </c>
      <c r="I992">
        <v>0</v>
      </c>
      <c r="J992">
        <v>3.04</v>
      </c>
      <c r="K992">
        <v>0</v>
      </c>
      <c r="L992">
        <v>150</v>
      </c>
      <c r="M992">
        <v>50.930169310916398</v>
      </c>
      <c r="N992">
        <v>1.931</v>
      </c>
      <c r="O992">
        <f>(Table1[[#This Row],[P]]&lt;&gt;0)*(Table1[[#This Row],[C]]&lt;&gt;0)</f>
        <v>0</v>
      </c>
      <c r="P992">
        <f>NETWORKDAYS(Table1[[#This Row],[ts_event]],Table1[[#This Row],[option_expiry_date]])</f>
        <v>52</v>
      </c>
      <c r="Q992">
        <f>Table1[[#This Row],[Column2]]/252</f>
        <v>0.20634920634920634</v>
      </c>
      <c r="R992" s="2" t="e">
        <f>IF(Table1[[#This Row],[CHECK2]]=0,NA(),
-(1/Table1[[#This Row],[T]])*LN((Table1[[#This Row],[S0]]-Table1[[#This Row],[C]]+Table1[[#This Row],[P]])/Table1[[#This Row],[K]])
)</f>
        <v>#N/A</v>
      </c>
    </row>
    <row r="993" spans="1:18">
      <c r="A993">
        <v>2</v>
      </c>
      <c r="B993" t="s">
        <v>10</v>
      </c>
      <c r="C993" s="1">
        <v>46157</v>
      </c>
      <c r="D993" t="s">
        <v>17</v>
      </c>
      <c r="E993">
        <v>28</v>
      </c>
      <c r="F993" t="s">
        <v>12</v>
      </c>
      <c r="G993" t="s">
        <v>13</v>
      </c>
      <c r="H993" s="1">
        <v>46260</v>
      </c>
      <c r="I993">
        <v>0.26</v>
      </c>
      <c r="J993">
        <v>0</v>
      </c>
      <c r="K993">
        <v>225</v>
      </c>
      <c r="L993">
        <v>0</v>
      </c>
      <c r="M993">
        <v>50.7214197294293</v>
      </c>
      <c r="N993">
        <v>1.931</v>
      </c>
      <c r="O993">
        <f>(Table1[[#This Row],[P]]&lt;&gt;0)*(Table1[[#This Row],[C]]&lt;&gt;0)</f>
        <v>0</v>
      </c>
      <c r="P993">
        <f>NETWORKDAYS(Table1[[#This Row],[ts_event]],Table1[[#This Row],[option_expiry_date]])</f>
        <v>74</v>
      </c>
      <c r="Q993">
        <f>Table1[[#This Row],[Column2]]/252</f>
        <v>0.29365079365079366</v>
      </c>
      <c r="R993" s="2" t="e">
        <f>IF(Table1[[#This Row],[CHECK2]]=0,NA(),
-(1/Table1[[#This Row],[T]])*LN((Table1[[#This Row],[S0]]-Table1[[#This Row],[C]]+Table1[[#This Row],[P]])/Table1[[#This Row],[K]])
)</f>
        <v>#N/A</v>
      </c>
    </row>
    <row r="994" spans="1:18">
      <c r="A994">
        <v>2</v>
      </c>
      <c r="B994" t="s">
        <v>10</v>
      </c>
      <c r="C994" s="1">
        <v>46157</v>
      </c>
      <c r="D994" t="s">
        <v>17</v>
      </c>
      <c r="E994">
        <v>35</v>
      </c>
      <c r="F994" t="s">
        <v>12</v>
      </c>
      <c r="G994" t="s">
        <v>13</v>
      </c>
      <c r="H994" s="1">
        <v>46260</v>
      </c>
      <c r="I994">
        <v>1.18575063613231</v>
      </c>
      <c r="J994">
        <v>0</v>
      </c>
      <c r="K994">
        <v>1965</v>
      </c>
      <c r="L994">
        <v>0</v>
      </c>
      <c r="M994">
        <v>50.7214197294293</v>
      </c>
      <c r="N994">
        <v>1.931</v>
      </c>
      <c r="O994">
        <f>(Table1[[#This Row],[P]]&lt;&gt;0)*(Table1[[#This Row],[C]]&lt;&gt;0)</f>
        <v>0</v>
      </c>
      <c r="P994">
        <f>NETWORKDAYS(Table1[[#This Row],[ts_event]],Table1[[#This Row],[option_expiry_date]])</f>
        <v>74</v>
      </c>
      <c r="Q994">
        <f>Table1[[#This Row],[Column2]]/252</f>
        <v>0.29365079365079366</v>
      </c>
      <c r="R994" s="2" t="e">
        <f>IF(Table1[[#This Row],[CHECK2]]=0,NA(),
-(1/Table1[[#This Row],[T]])*LN((Table1[[#This Row],[S0]]-Table1[[#This Row],[C]]+Table1[[#This Row],[P]])/Table1[[#This Row],[K]])
)</f>
        <v>#N/A</v>
      </c>
    </row>
    <row r="995" spans="1:18">
      <c r="A995">
        <v>2</v>
      </c>
      <c r="B995" t="s">
        <v>10</v>
      </c>
      <c r="C995" s="1">
        <v>46157</v>
      </c>
      <c r="D995" t="s">
        <v>17</v>
      </c>
      <c r="E995">
        <v>50</v>
      </c>
      <c r="F995" t="s">
        <v>12</v>
      </c>
      <c r="G995" t="s">
        <v>13</v>
      </c>
      <c r="H995" s="1">
        <v>46260</v>
      </c>
      <c r="I995">
        <v>8.6999999999999993</v>
      </c>
      <c r="J995">
        <v>8.52</v>
      </c>
      <c r="K995">
        <v>550</v>
      </c>
      <c r="L995">
        <v>1075</v>
      </c>
      <c r="M995">
        <v>50.7214197294293</v>
      </c>
      <c r="N995">
        <v>1.931</v>
      </c>
      <c r="O995">
        <f>(Table1[[#This Row],[P]]&lt;&gt;0)*(Table1[[#This Row],[C]]&lt;&gt;0)</f>
        <v>1</v>
      </c>
      <c r="P995">
        <f>NETWORKDAYS(Table1[[#This Row],[ts_event]],Table1[[#This Row],[option_expiry_date]])</f>
        <v>74</v>
      </c>
      <c r="Q995">
        <f>Table1[[#This Row],[Column2]]/252</f>
        <v>0.29365079365079366</v>
      </c>
      <c r="R995" s="2">
        <f>IF(Table1[[#This Row],[CHECK2]]=0,NA(),
-(1/Table1[[#This Row],[T]])*LN((Table1[[#This Row],[S0]]-Table1[[#This Row],[C]]+Table1[[#This Row],[P]])/Table1[[#This Row],[K]])
)</f>
        <v>-6.0847137650712958E-2</v>
      </c>
    </row>
    <row r="996" spans="1:18">
      <c r="A996">
        <v>1</v>
      </c>
      <c r="B996" t="s">
        <v>10</v>
      </c>
      <c r="C996" s="1">
        <v>46157</v>
      </c>
      <c r="D996" t="s">
        <v>17</v>
      </c>
      <c r="E996">
        <v>58</v>
      </c>
      <c r="F996" t="s">
        <v>12</v>
      </c>
      <c r="G996" t="s">
        <v>13</v>
      </c>
      <c r="H996" s="1">
        <v>46260</v>
      </c>
      <c r="I996">
        <v>0</v>
      </c>
      <c r="J996">
        <v>6.2750000000000004</v>
      </c>
      <c r="K996">
        <v>0</v>
      </c>
      <c r="L996">
        <v>250</v>
      </c>
      <c r="M996">
        <v>50.7214197294293</v>
      </c>
      <c r="N996">
        <v>1.931</v>
      </c>
      <c r="O996">
        <f>(Table1[[#This Row],[P]]&lt;&gt;0)*(Table1[[#This Row],[C]]&lt;&gt;0)</f>
        <v>0</v>
      </c>
      <c r="P996">
        <f>NETWORKDAYS(Table1[[#This Row],[ts_event]],Table1[[#This Row],[option_expiry_date]])</f>
        <v>74</v>
      </c>
      <c r="Q996">
        <f>Table1[[#This Row],[Column2]]/252</f>
        <v>0.29365079365079366</v>
      </c>
      <c r="R996" s="2" t="e">
        <f>IF(Table1[[#This Row],[CHECK2]]=0,NA(),
-(1/Table1[[#This Row],[T]])*LN((Table1[[#This Row],[S0]]-Table1[[#This Row],[C]]+Table1[[#This Row],[P]])/Table1[[#This Row],[K]])
)</f>
        <v>#N/A</v>
      </c>
    </row>
    <row r="997" spans="1:18">
      <c r="A997">
        <v>1</v>
      </c>
      <c r="B997" t="s">
        <v>10</v>
      </c>
      <c r="C997" s="1">
        <v>46157</v>
      </c>
      <c r="D997" t="s">
        <v>17</v>
      </c>
      <c r="E997">
        <v>60</v>
      </c>
      <c r="F997" t="s">
        <v>12</v>
      </c>
      <c r="G997" t="s">
        <v>13</v>
      </c>
      <c r="H997" s="1">
        <v>46260</v>
      </c>
      <c r="I997">
        <v>0</v>
      </c>
      <c r="J997">
        <v>4.9800000000000004</v>
      </c>
      <c r="K997">
        <v>0</v>
      </c>
      <c r="L997">
        <v>150</v>
      </c>
      <c r="M997">
        <v>50.7214197294293</v>
      </c>
      <c r="N997">
        <v>1.931</v>
      </c>
      <c r="O997">
        <f>(Table1[[#This Row],[P]]&lt;&gt;0)*(Table1[[#This Row],[C]]&lt;&gt;0)</f>
        <v>0</v>
      </c>
      <c r="P997">
        <f>NETWORKDAYS(Table1[[#This Row],[ts_event]],Table1[[#This Row],[option_expiry_date]])</f>
        <v>74</v>
      </c>
      <c r="Q997">
        <f>Table1[[#This Row],[Column2]]/252</f>
        <v>0.29365079365079366</v>
      </c>
      <c r="R997" s="2" t="e">
        <f>IF(Table1[[#This Row],[CHECK2]]=0,NA(),
-(1/Table1[[#This Row],[T]])*LN((Table1[[#This Row],[S0]]-Table1[[#This Row],[C]]+Table1[[#This Row],[P]])/Table1[[#This Row],[K]])
)</f>
        <v>#N/A</v>
      </c>
    </row>
    <row r="998" spans="1:18">
      <c r="A998">
        <v>1</v>
      </c>
      <c r="B998" t="s">
        <v>10</v>
      </c>
      <c r="C998" s="1">
        <v>46157</v>
      </c>
      <c r="D998" t="s">
        <v>17</v>
      </c>
      <c r="E998">
        <v>70</v>
      </c>
      <c r="F998" t="s">
        <v>12</v>
      </c>
      <c r="G998" t="s">
        <v>13</v>
      </c>
      <c r="H998" s="1">
        <v>46260</v>
      </c>
      <c r="I998">
        <v>0</v>
      </c>
      <c r="J998">
        <v>4.5</v>
      </c>
      <c r="K998">
        <v>0</v>
      </c>
      <c r="L998">
        <v>80</v>
      </c>
      <c r="M998">
        <v>50.7214197294293</v>
      </c>
      <c r="N998">
        <v>1.931</v>
      </c>
      <c r="O998">
        <f>(Table1[[#This Row],[P]]&lt;&gt;0)*(Table1[[#This Row],[C]]&lt;&gt;0)</f>
        <v>0</v>
      </c>
      <c r="P998">
        <f>NETWORKDAYS(Table1[[#This Row],[ts_event]],Table1[[#This Row],[option_expiry_date]])</f>
        <v>74</v>
      </c>
      <c r="Q998">
        <f>Table1[[#This Row],[Column2]]/252</f>
        <v>0.29365079365079366</v>
      </c>
      <c r="R998" s="2" t="e">
        <f>IF(Table1[[#This Row],[CHECK2]]=0,NA(),
-(1/Table1[[#This Row],[T]])*LN((Table1[[#This Row],[S0]]-Table1[[#This Row],[C]]+Table1[[#This Row],[P]])/Table1[[#This Row],[K]])
)</f>
        <v>#N/A</v>
      </c>
    </row>
    <row r="999" spans="1:18">
      <c r="A999">
        <v>1</v>
      </c>
      <c r="B999" t="s">
        <v>10</v>
      </c>
      <c r="C999" s="1">
        <v>46157</v>
      </c>
      <c r="D999" t="s">
        <v>18</v>
      </c>
      <c r="E999">
        <v>45</v>
      </c>
      <c r="F999" t="s">
        <v>12</v>
      </c>
      <c r="G999" t="s">
        <v>13</v>
      </c>
      <c r="H999" s="1">
        <v>46290</v>
      </c>
      <c r="I999">
        <v>6.5</v>
      </c>
      <c r="J999">
        <v>0</v>
      </c>
      <c r="K999">
        <v>25</v>
      </c>
      <c r="L999">
        <v>0</v>
      </c>
      <c r="M999">
        <v>50.397000313283201</v>
      </c>
      <c r="N999">
        <v>1.931</v>
      </c>
      <c r="O999">
        <f>(Table1[[#This Row],[P]]&lt;&gt;0)*(Table1[[#This Row],[C]]&lt;&gt;0)</f>
        <v>0</v>
      </c>
      <c r="P999">
        <f>NETWORKDAYS(Table1[[#This Row],[ts_event]],Table1[[#This Row],[option_expiry_date]])</f>
        <v>96</v>
      </c>
      <c r="Q999">
        <f>Table1[[#This Row],[Column2]]/252</f>
        <v>0.38095238095238093</v>
      </c>
      <c r="R999" s="2" t="e">
        <f>IF(Table1[[#This Row],[CHECK2]]=0,NA(),
-(1/Table1[[#This Row],[T]])*LN((Table1[[#This Row],[S0]]-Table1[[#This Row],[C]]+Table1[[#This Row],[P]])/Table1[[#This Row],[K]])
)</f>
        <v>#N/A</v>
      </c>
    </row>
    <row r="1000" spans="1:18">
      <c r="A1000">
        <v>2</v>
      </c>
      <c r="B1000" t="s">
        <v>10</v>
      </c>
      <c r="C1000" s="1">
        <v>46157</v>
      </c>
      <c r="D1000" t="s">
        <v>18</v>
      </c>
      <c r="E1000">
        <v>47</v>
      </c>
      <c r="F1000" t="s">
        <v>12</v>
      </c>
      <c r="G1000" t="s">
        <v>13</v>
      </c>
      <c r="H1000" s="1">
        <v>46290</v>
      </c>
      <c r="I1000">
        <v>7.7</v>
      </c>
      <c r="J1000">
        <v>8.3000000000000007</v>
      </c>
      <c r="K1000">
        <v>25</v>
      </c>
      <c r="L1000">
        <v>25</v>
      </c>
      <c r="M1000">
        <v>50.397000313283201</v>
      </c>
      <c r="N1000">
        <v>1.931</v>
      </c>
      <c r="O1000">
        <f>(Table1[[#This Row],[P]]&lt;&gt;0)*(Table1[[#This Row],[C]]&lt;&gt;0)</f>
        <v>1</v>
      </c>
      <c r="P1000">
        <f>NETWORKDAYS(Table1[[#This Row],[ts_event]],Table1[[#This Row],[option_expiry_date]])</f>
        <v>96</v>
      </c>
      <c r="Q1000">
        <f>Table1[[#This Row],[Column2]]/252</f>
        <v>0.38095238095238093</v>
      </c>
      <c r="R1000" s="2">
        <f>IF(Table1[[#This Row],[CHECK2]]=0,NA(),
-(1/Table1[[#This Row],[T]])*LN((Table1[[#This Row],[S0]]-Table1[[#This Row],[C]]+Table1[[#This Row],[P]])/Table1[[#This Row],[K]])
)</f>
        <v>-0.1517437578125175</v>
      </c>
    </row>
    <row r="1001" spans="1:18">
      <c r="A1001">
        <v>1</v>
      </c>
      <c r="B1001" t="s">
        <v>10</v>
      </c>
      <c r="C1001" s="1">
        <v>46157</v>
      </c>
      <c r="D1001" t="s">
        <v>18</v>
      </c>
      <c r="E1001">
        <v>49</v>
      </c>
      <c r="F1001" t="s">
        <v>12</v>
      </c>
      <c r="G1001" t="s">
        <v>13</v>
      </c>
      <c r="H1001" s="1">
        <v>46290</v>
      </c>
      <c r="I1001">
        <v>0</v>
      </c>
      <c r="J1001">
        <v>8.7750000000000004</v>
      </c>
      <c r="K1001">
        <v>0</v>
      </c>
      <c r="L1001">
        <v>25</v>
      </c>
      <c r="M1001">
        <v>50.397000313283201</v>
      </c>
      <c r="N1001">
        <v>1.931</v>
      </c>
      <c r="O1001">
        <f>(Table1[[#This Row],[P]]&lt;&gt;0)*(Table1[[#This Row],[C]]&lt;&gt;0)</f>
        <v>0</v>
      </c>
      <c r="P1001">
        <f>NETWORKDAYS(Table1[[#This Row],[ts_event]],Table1[[#This Row],[option_expiry_date]])</f>
        <v>96</v>
      </c>
      <c r="Q1001">
        <f>Table1[[#This Row],[Column2]]/252</f>
        <v>0.38095238095238093</v>
      </c>
      <c r="R1001" s="2" t="e">
        <f>IF(Table1[[#This Row],[CHECK2]]=0,NA(),
-(1/Table1[[#This Row],[T]])*LN((Table1[[#This Row],[S0]]-Table1[[#This Row],[C]]+Table1[[#This Row],[P]])/Table1[[#This Row],[K]])
)</f>
        <v>#N/A</v>
      </c>
    </row>
    <row r="1002" spans="1:18">
      <c r="A1002">
        <v>1</v>
      </c>
      <c r="B1002" t="s">
        <v>10</v>
      </c>
      <c r="C1002" s="1">
        <v>46157</v>
      </c>
      <c r="D1002" t="s">
        <v>18</v>
      </c>
      <c r="E1002">
        <v>55</v>
      </c>
      <c r="F1002" t="s">
        <v>12</v>
      </c>
      <c r="G1002" t="s">
        <v>13</v>
      </c>
      <c r="H1002" s="1">
        <v>46290</v>
      </c>
      <c r="I1002">
        <v>0</v>
      </c>
      <c r="J1002">
        <v>6.84</v>
      </c>
      <c r="K1002">
        <v>0</v>
      </c>
      <c r="L1002">
        <v>200</v>
      </c>
      <c r="M1002">
        <v>50.397000313283201</v>
      </c>
      <c r="N1002">
        <v>1.931</v>
      </c>
      <c r="O1002">
        <f>(Table1[[#This Row],[P]]&lt;&gt;0)*(Table1[[#This Row],[C]]&lt;&gt;0)</f>
        <v>0</v>
      </c>
      <c r="P1002">
        <f>NETWORKDAYS(Table1[[#This Row],[ts_event]],Table1[[#This Row],[option_expiry_date]])</f>
        <v>96</v>
      </c>
      <c r="Q1002">
        <f>Table1[[#This Row],[Column2]]/252</f>
        <v>0.38095238095238093</v>
      </c>
      <c r="R1002" s="2" t="e">
        <f>IF(Table1[[#This Row],[CHECK2]]=0,NA(),
-(1/Table1[[#This Row],[T]])*LN((Table1[[#This Row],[S0]]-Table1[[#This Row],[C]]+Table1[[#This Row],[P]])/Table1[[#This Row],[K]])
)</f>
        <v>#N/A</v>
      </c>
    </row>
    <row r="1003" spans="1:18">
      <c r="A1003">
        <v>1</v>
      </c>
      <c r="B1003" t="s">
        <v>10</v>
      </c>
      <c r="C1003" s="1">
        <v>46157</v>
      </c>
      <c r="D1003" t="s">
        <v>18</v>
      </c>
      <c r="E1003">
        <v>60</v>
      </c>
      <c r="F1003" t="s">
        <v>12</v>
      </c>
      <c r="G1003" t="s">
        <v>13</v>
      </c>
      <c r="H1003" s="1">
        <v>46290</v>
      </c>
      <c r="I1003">
        <v>0</v>
      </c>
      <c r="J1003">
        <v>5.84</v>
      </c>
      <c r="K1003">
        <v>0</v>
      </c>
      <c r="L1003">
        <v>510</v>
      </c>
      <c r="M1003">
        <v>50.397000313283201</v>
      </c>
      <c r="N1003">
        <v>1.931</v>
      </c>
      <c r="O1003">
        <f>(Table1[[#This Row],[P]]&lt;&gt;0)*(Table1[[#This Row],[C]]&lt;&gt;0)</f>
        <v>0</v>
      </c>
      <c r="P1003">
        <f>NETWORKDAYS(Table1[[#This Row],[ts_event]],Table1[[#This Row],[option_expiry_date]])</f>
        <v>96</v>
      </c>
      <c r="Q1003">
        <f>Table1[[#This Row],[Column2]]/252</f>
        <v>0.38095238095238093</v>
      </c>
      <c r="R1003" s="2" t="e">
        <f>IF(Table1[[#This Row],[CHECK2]]=0,NA(),
-(1/Table1[[#This Row],[T]])*LN((Table1[[#This Row],[S0]]-Table1[[#This Row],[C]]+Table1[[#This Row],[P]])/Table1[[#This Row],[K]])
)</f>
        <v>#N/A</v>
      </c>
    </row>
    <row r="1004" spans="1:18">
      <c r="A1004">
        <v>1</v>
      </c>
      <c r="B1004" t="s">
        <v>10</v>
      </c>
      <c r="C1004" s="1">
        <v>46157</v>
      </c>
      <c r="D1004" t="s">
        <v>20</v>
      </c>
      <c r="E1004">
        <v>70</v>
      </c>
      <c r="F1004" t="s">
        <v>12</v>
      </c>
      <c r="G1004" t="s">
        <v>13</v>
      </c>
      <c r="H1004" s="1">
        <v>46352</v>
      </c>
      <c r="I1004">
        <v>0</v>
      </c>
      <c r="J1004">
        <v>4.95</v>
      </c>
      <c r="K1004">
        <v>0</v>
      </c>
      <c r="L1004">
        <v>100</v>
      </c>
      <c r="M1004">
        <v>48.773914302542401</v>
      </c>
      <c r="N1004">
        <v>1.931</v>
      </c>
      <c r="O1004">
        <f>(Table1[[#This Row],[P]]&lt;&gt;0)*(Table1[[#This Row],[C]]&lt;&gt;0)</f>
        <v>0</v>
      </c>
      <c r="P1004">
        <f>NETWORKDAYS(Table1[[#This Row],[ts_event]],Table1[[#This Row],[option_expiry_date]])</f>
        <v>140</v>
      </c>
      <c r="Q1004">
        <f>Table1[[#This Row],[Column2]]/252</f>
        <v>0.55555555555555558</v>
      </c>
      <c r="R1004" s="2" t="e">
        <f>IF(Table1[[#This Row],[CHECK2]]=0,NA(),
-(1/Table1[[#This Row],[T]])*LN((Table1[[#This Row],[S0]]-Table1[[#This Row],[C]]+Table1[[#This Row],[P]])/Table1[[#This Row],[K]])
)</f>
        <v>#N/A</v>
      </c>
    </row>
    <row r="1005" spans="1:18">
      <c r="A1005">
        <v>1</v>
      </c>
      <c r="B1005" t="s">
        <v>10</v>
      </c>
      <c r="C1005" s="1">
        <v>46157</v>
      </c>
      <c r="D1005" t="s">
        <v>24</v>
      </c>
      <c r="E1005">
        <v>50</v>
      </c>
      <c r="F1005" t="s">
        <v>12</v>
      </c>
      <c r="G1005" t="s">
        <v>13</v>
      </c>
      <c r="H1005" s="1">
        <v>46414</v>
      </c>
      <c r="I1005">
        <v>0</v>
      </c>
      <c r="J1005">
        <v>9.9</v>
      </c>
      <c r="K1005">
        <v>0</v>
      </c>
      <c r="L1005">
        <v>1000</v>
      </c>
      <c r="M1005">
        <v>47.237143577461197</v>
      </c>
      <c r="N1005">
        <v>1.931</v>
      </c>
      <c r="O1005">
        <f>(Table1[[#This Row],[P]]&lt;&gt;0)*(Table1[[#This Row],[C]]&lt;&gt;0)</f>
        <v>0</v>
      </c>
      <c r="P1005">
        <f>NETWORKDAYS(Table1[[#This Row],[ts_event]],Table1[[#This Row],[option_expiry_date]])</f>
        <v>184</v>
      </c>
      <c r="Q1005">
        <f>Table1[[#This Row],[Column2]]/252</f>
        <v>0.73015873015873012</v>
      </c>
      <c r="R1005" s="2" t="e">
        <f>IF(Table1[[#This Row],[CHECK2]]=0,NA(),
-(1/Table1[[#This Row],[T]])*LN((Table1[[#This Row],[S0]]-Table1[[#This Row],[C]]+Table1[[#This Row],[P]])/Table1[[#This Row],[K]])
)</f>
        <v>#N/A</v>
      </c>
    </row>
    <row r="1006" spans="1:18">
      <c r="A1006">
        <v>1</v>
      </c>
      <c r="B1006" t="s">
        <v>10</v>
      </c>
      <c r="C1006" s="1">
        <v>46157</v>
      </c>
      <c r="D1006" t="s">
        <v>24</v>
      </c>
      <c r="E1006">
        <v>55</v>
      </c>
      <c r="F1006" t="s">
        <v>12</v>
      </c>
      <c r="G1006" t="s">
        <v>13</v>
      </c>
      <c r="H1006" s="1">
        <v>46414</v>
      </c>
      <c r="I1006">
        <v>0</v>
      </c>
      <c r="J1006">
        <v>8.65</v>
      </c>
      <c r="K1006">
        <v>0</v>
      </c>
      <c r="L1006">
        <v>1000</v>
      </c>
      <c r="M1006">
        <v>47.237143577461197</v>
      </c>
      <c r="N1006">
        <v>1.931</v>
      </c>
      <c r="O1006">
        <f>(Table1[[#This Row],[P]]&lt;&gt;0)*(Table1[[#This Row],[C]]&lt;&gt;0)</f>
        <v>0</v>
      </c>
      <c r="P1006">
        <f>NETWORKDAYS(Table1[[#This Row],[ts_event]],Table1[[#This Row],[option_expiry_date]])</f>
        <v>184</v>
      </c>
      <c r="Q1006">
        <f>Table1[[#This Row],[Column2]]/252</f>
        <v>0.73015873015873012</v>
      </c>
      <c r="R1006" s="2" t="e">
        <f>IF(Table1[[#This Row],[CHECK2]]=0,NA(),
-(1/Table1[[#This Row],[T]])*LN((Table1[[#This Row],[S0]]-Table1[[#This Row],[C]]+Table1[[#This Row],[P]])/Table1[[#This Row],[K]])
)</f>
        <v>#N/A</v>
      </c>
    </row>
    <row r="1007" spans="1:18">
      <c r="A1007">
        <v>1</v>
      </c>
      <c r="B1007" t="s">
        <v>10</v>
      </c>
      <c r="C1007" s="1">
        <v>46157</v>
      </c>
      <c r="D1007" t="s">
        <v>22</v>
      </c>
      <c r="E1007">
        <v>15</v>
      </c>
      <c r="F1007" t="s">
        <v>12</v>
      </c>
      <c r="G1007" t="s">
        <v>13</v>
      </c>
      <c r="H1007" s="1">
        <v>46442</v>
      </c>
      <c r="I1007">
        <v>0.18</v>
      </c>
      <c r="J1007">
        <v>0</v>
      </c>
      <c r="K1007">
        <v>150</v>
      </c>
      <c r="L1007">
        <v>0</v>
      </c>
      <c r="M1007">
        <v>45.221108915084301</v>
      </c>
      <c r="N1007">
        <v>1.931</v>
      </c>
      <c r="O1007">
        <f>(Table1[[#This Row],[P]]&lt;&gt;0)*(Table1[[#This Row],[C]]&lt;&gt;0)</f>
        <v>0</v>
      </c>
      <c r="P1007">
        <f>NETWORKDAYS(Table1[[#This Row],[ts_event]],Table1[[#This Row],[option_expiry_date]])</f>
        <v>204</v>
      </c>
      <c r="Q1007">
        <f>Table1[[#This Row],[Column2]]/252</f>
        <v>0.80952380952380953</v>
      </c>
      <c r="R1007" s="2" t="e">
        <f>IF(Table1[[#This Row],[CHECK2]]=0,NA(),
-(1/Table1[[#This Row],[T]])*LN((Table1[[#This Row],[S0]]-Table1[[#This Row],[C]]+Table1[[#This Row],[P]])/Table1[[#This Row],[K]])
)</f>
        <v>#N/A</v>
      </c>
    </row>
    <row r="1008" spans="1:18">
      <c r="A1008">
        <v>1</v>
      </c>
      <c r="B1008" t="s">
        <v>10</v>
      </c>
      <c r="C1008" s="1">
        <v>46157</v>
      </c>
      <c r="D1008" t="s">
        <v>22</v>
      </c>
      <c r="E1008">
        <v>25</v>
      </c>
      <c r="F1008" t="s">
        <v>12</v>
      </c>
      <c r="G1008" t="s">
        <v>13</v>
      </c>
      <c r="H1008" s="1">
        <v>46442</v>
      </c>
      <c r="I1008">
        <v>0.9</v>
      </c>
      <c r="J1008">
        <v>0</v>
      </c>
      <c r="K1008">
        <v>75</v>
      </c>
      <c r="L1008">
        <v>0</v>
      </c>
      <c r="M1008">
        <v>45.221108915084301</v>
      </c>
      <c r="N1008">
        <v>1.931</v>
      </c>
      <c r="O1008">
        <f>(Table1[[#This Row],[P]]&lt;&gt;0)*(Table1[[#This Row],[C]]&lt;&gt;0)</f>
        <v>0</v>
      </c>
      <c r="P1008">
        <f>NETWORKDAYS(Table1[[#This Row],[ts_event]],Table1[[#This Row],[option_expiry_date]])</f>
        <v>204</v>
      </c>
      <c r="Q1008">
        <f>Table1[[#This Row],[Column2]]/252</f>
        <v>0.80952380952380953</v>
      </c>
      <c r="R1008" s="2" t="e">
        <f>IF(Table1[[#This Row],[CHECK2]]=0,NA(),
-(1/Table1[[#This Row],[T]])*LN((Table1[[#This Row],[S0]]-Table1[[#This Row],[C]]+Table1[[#This Row],[P]])/Table1[[#This Row],[K]])
)</f>
        <v>#N/A</v>
      </c>
    </row>
    <row r="1009" spans="1:18">
      <c r="A1009">
        <v>1</v>
      </c>
      <c r="B1009" t="s">
        <v>10</v>
      </c>
      <c r="C1009" s="1">
        <v>46157</v>
      </c>
      <c r="D1009" t="s">
        <v>22</v>
      </c>
      <c r="E1009">
        <v>28</v>
      </c>
      <c r="F1009" t="s">
        <v>12</v>
      </c>
      <c r="G1009" t="s">
        <v>13</v>
      </c>
      <c r="H1009" s="1">
        <v>46442</v>
      </c>
      <c r="I1009">
        <v>0</v>
      </c>
      <c r="J1009">
        <v>18.05</v>
      </c>
      <c r="K1009">
        <v>0</v>
      </c>
      <c r="L1009">
        <v>275</v>
      </c>
      <c r="M1009">
        <v>45.221108915084301</v>
      </c>
      <c r="N1009">
        <v>1.931</v>
      </c>
      <c r="O1009">
        <f>(Table1[[#This Row],[P]]&lt;&gt;0)*(Table1[[#This Row],[C]]&lt;&gt;0)</f>
        <v>0</v>
      </c>
      <c r="P1009">
        <f>NETWORKDAYS(Table1[[#This Row],[ts_event]],Table1[[#This Row],[option_expiry_date]])</f>
        <v>204</v>
      </c>
      <c r="Q1009">
        <f>Table1[[#This Row],[Column2]]/252</f>
        <v>0.80952380952380953</v>
      </c>
      <c r="R1009" s="2" t="e">
        <f>IF(Table1[[#This Row],[CHECK2]]=0,NA(),
-(1/Table1[[#This Row],[T]])*LN((Table1[[#This Row],[S0]]-Table1[[#This Row],[C]]+Table1[[#This Row],[P]])/Table1[[#This Row],[K]])
)</f>
        <v>#N/A</v>
      </c>
    </row>
    <row r="1010" spans="1:18">
      <c r="A1010">
        <v>1</v>
      </c>
      <c r="B1010" t="s">
        <v>10</v>
      </c>
      <c r="C1010" s="1">
        <v>46157</v>
      </c>
      <c r="D1010" t="s">
        <v>23</v>
      </c>
      <c r="E1010">
        <v>50</v>
      </c>
      <c r="F1010" t="s">
        <v>12</v>
      </c>
      <c r="G1010" t="s">
        <v>13</v>
      </c>
      <c r="H1010" s="1">
        <v>46471</v>
      </c>
      <c r="I1010">
        <v>0</v>
      </c>
      <c r="J1010">
        <v>4.8499999999999996</v>
      </c>
      <c r="K1010">
        <v>0</v>
      </c>
      <c r="L1010">
        <v>200</v>
      </c>
      <c r="M1010">
        <v>38.299999999999997</v>
      </c>
      <c r="N1010">
        <v>1.931</v>
      </c>
      <c r="O1010">
        <f>(Table1[[#This Row],[P]]&lt;&gt;0)*(Table1[[#This Row],[C]]&lt;&gt;0)</f>
        <v>0</v>
      </c>
      <c r="P1010">
        <f>NETWORKDAYS(Table1[[#This Row],[ts_event]],Table1[[#This Row],[option_expiry_date]])</f>
        <v>225</v>
      </c>
      <c r="Q1010">
        <f>Table1[[#This Row],[Column2]]/252</f>
        <v>0.8928571428571429</v>
      </c>
      <c r="R1010" s="2" t="e">
        <f>IF(Table1[[#This Row],[CHECK2]]=0,NA(),
-(1/Table1[[#This Row],[T]])*LN((Table1[[#This Row],[S0]]-Table1[[#This Row],[C]]+Table1[[#This Row],[P]])/Table1[[#This Row],[K]])
)</f>
        <v>#N/A</v>
      </c>
    </row>
    <row r="1011" spans="1:18">
      <c r="A1011">
        <v>1</v>
      </c>
      <c r="B1011" t="s">
        <v>10</v>
      </c>
      <c r="C1011" s="1">
        <v>46160</v>
      </c>
      <c r="D1011" t="s">
        <v>14</v>
      </c>
      <c r="E1011">
        <v>35</v>
      </c>
      <c r="F1011" t="s">
        <v>12</v>
      </c>
      <c r="G1011" t="s">
        <v>13</v>
      </c>
      <c r="H1011" s="1">
        <v>46169</v>
      </c>
      <c r="I1011">
        <v>4.4999999999999998E-2</v>
      </c>
      <c r="J1011">
        <v>0</v>
      </c>
      <c r="K1011">
        <v>130</v>
      </c>
      <c r="L1011">
        <v>0</v>
      </c>
      <c r="M1011">
        <v>49.430771704619097</v>
      </c>
      <c r="N1011">
        <v>1.931</v>
      </c>
      <c r="O1011">
        <f>(Table1[[#This Row],[P]]&lt;&gt;0)*(Table1[[#This Row],[C]]&lt;&gt;0)</f>
        <v>0</v>
      </c>
      <c r="P1011">
        <f>NETWORKDAYS(Table1[[#This Row],[ts_event]],Table1[[#This Row],[option_expiry_date]])</f>
        <v>8</v>
      </c>
      <c r="Q1011">
        <f>Table1[[#This Row],[Column2]]/252</f>
        <v>3.1746031746031744E-2</v>
      </c>
      <c r="R1011" s="2" t="e">
        <f>IF(Table1[[#This Row],[CHECK2]]=0,NA(),
-(1/Table1[[#This Row],[T]])*LN((Table1[[#This Row],[S0]]-Table1[[#This Row],[C]]+Table1[[#This Row],[P]])/Table1[[#This Row],[K]])
)</f>
        <v>#N/A</v>
      </c>
    </row>
    <row r="1012" spans="1:18">
      <c r="A1012">
        <v>1</v>
      </c>
      <c r="B1012" t="s">
        <v>10</v>
      </c>
      <c r="C1012" s="1">
        <v>46160</v>
      </c>
      <c r="D1012" t="s">
        <v>14</v>
      </c>
      <c r="E1012">
        <v>37</v>
      </c>
      <c r="F1012" t="s">
        <v>12</v>
      </c>
      <c r="G1012" t="s">
        <v>13</v>
      </c>
      <c r="H1012" s="1">
        <v>46169</v>
      </c>
      <c r="I1012">
        <v>0.155</v>
      </c>
      <c r="J1012">
        <v>0</v>
      </c>
      <c r="K1012">
        <v>900</v>
      </c>
      <c r="L1012">
        <v>0</v>
      </c>
      <c r="M1012">
        <v>49.430771704619097</v>
      </c>
      <c r="N1012">
        <v>1.931</v>
      </c>
      <c r="O1012">
        <f>(Table1[[#This Row],[P]]&lt;&gt;0)*(Table1[[#This Row],[C]]&lt;&gt;0)</f>
        <v>0</v>
      </c>
      <c r="P1012">
        <f>NETWORKDAYS(Table1[[#This Row],[ts_event]],Table1[[#This Row],[option_expiry_date]])</f>
        <v>8</v>
      </c>
      <c r="Q1012">
        <f>Table1[[#This Row],[Column2]]/252</f>
        <v>3.1746031746031744E-2</v>
      </c>
      <c r="R1012" s="2" t="e">
        <f>IF(Table1[[#This Row],[CHECK2]]=0,NA(),
-(1/Table1[[#This Row],[T]])*LN((Table1[[#This Row],[S0]]-Table1[[#This Row],[C]]+Table1[[#This Row],[P]])/Table1[[#This Row],[K]])
)</f>
        <v>#N/A</v>
      </c>
    </row>
    <row r="1013" spans="1:18">
      <c r="A1013">
        <v>2</v>
      </c>
      <c r="B1013" t="s">
        <v>10</v>
      </c>
      <c r="C1013" s="1">
        <v>46160</v>
      </c>
      <c r="D1013" t="s">
        <v>14</v>
      </c>
      <c r="E1013">
        <v>40</v>
      </c>
      <c r="F1013" t="s">
        <v>12</v>
      </c>
      <c r="G1013" t="s">
        <v>13</v>
      </c>
      <c r="H1013" s="1">
        <v>46169</v>
      </c>
      <c r="I1013">
        <v>0.28906570841889101</v>
      </c>
      <c r="J1013">
        <v>0</v>
      </c>
      <c r="K1013">
        <v>2435</v>
      </c>
      <c r="L1013">
        <v>0</v>
      </c>
      <c r="M1013">
        <v>49.430771704619097</v>
      </c>
      <c r="N1013">
        <v>1.931</v>
      </c>
      <c r="O1013">
        <f>(Table1[[#This Row],[P]]&lt;&gt;0)*(Table1[[#This Row],[C]]&lt;&gt;0)</f>
        <v>0</v>
      </c>
      <c r="P1013">
        <f>NETWORKDAYS(Table1[[#This Row],[ts_event]],Table1[[#This Row],[option_expiry_date]])</f>
        <v>8</v>
      </c>
      <c r="Q1013">
        <f>Table1[[#This Row],[Column2]]/252</f>
        <v>3.1746031746031744E-2</v>
      </c>
      <c r="R1013" s="2" t="e">
        <f>IF(Table1[[#This Row],[CHECK2]]=0,NA(),
-(1/Table1[[#This Row],[T]])*LN((Table1[[#This Row],[S0]]-Table1[[#This Row],[C]]+Table1[[#This Row],[P]])/Table1[[#This Row],[K]])
)</f>
        <v>#N/A</v>
      </c>
    </row>
    <row r="1014" spans="1:18">
      <c r="A1014">
        <v>1</v>
      </c>
      <c r="B1014" t="s">
        <v>10</v>
      </c>
      <c r="C1014" s="1">
        <v>46160</v>
      </c>
      <c r="D1014" t="s">
        <v>14</v>
      </c>
      <c r="E1014">
        <v>42</v>
      </c>
      <c r="F1014" t="s">
        <v>12</v>
      </c>
      <c r="G1014" t="s">
        <v>13</v>
      </c>
      <c r="H1014" s="1">
        <v>46169</v>
      </c>
      <c r="I1014">
        <v>0.43</v>
      </c>
      <c r="J1014">
        <v>0</v>
      </c>
      <c r="K1014">
        <v>2950</v>
      </c>
      <c r="L1014">
        <v>0</v>
      </c>
      <c r="M1014">
        <v>49.430771704619097</v>
      </c>
      <c r="N1014">
        <v>1.931</v>
      </c>
      <c r="O1014">
        <f>(Table1[[#This Row],[P]]&lt;&gt;0)*(Table1[[#This Row],[C]]&lt;&gt;0)</f>
        <v>0</v>
      </c>
      <c r="P1014">
        <f>NETWORKDAYS(Table1[[#This Row],[ts_event]],Table1[[#This Row],[option_expiry_date]])</f>
        <v>8</v>
      </c>
      <c r="Q1014">
        <f>Table1[[#This Row],[Column2]]/252</f>
        <v>3.1746031746031744E-2</v>
      </c>
      <c r="R1014" s="2" t="e">
        <f>IF(Table1[[#This Row],[CHECK2]]=0,NA(),
-(1/Table1[[#This Row],[T]])*LN((Table1[[#This Row],[S0]]-Table1[[#This Row],[C]]+Table1[[#This Row],[P]])/Table1[[#This Row],[K]])
)</f>
        <v>#N/A</v>
      </c>
    </row>
    <row r="1015" spans="1:18">
      <c r="A1015">
        <v>1</v>
      </c>
      <c r="B1015" t="s">
        <v>10</v>
      </c>
      <c r="C1015" s="1">
        <v>46160</v>
      </c>
      <c r="D1015" t="s">
        <v>14</v>
      </c>
      <c r="E1015">
        <v>43</v>
      </c>
      <c r="F1015" t="s">
        <v>12</v>
      </c>
      <c r="G1015" t="s">
        <v>13</v>
      </c>
      <c r="H1015" s="1">
        <v>46169</v>
      </c>
      <c r="I1015">
        <v>0.56999999999999995</v>
      </c>
      <c r="J1015">
        <v>0</v>
      </c>
      <c r="K1015">
        <v>300</v>
      </c>
      <c r="L1015">
        <v>0</v>
      </c>
      <c r="M1015">
        <v>49.430771704619097</v>
      </c>
      <c r="N1015">
        <v>1.931</v>
      </c>
      <c r="O1015">
        <f>(Table1[[#This Row],[P]]&lt;&gt;0)*(Table1[[#This Row],[C]]&lt;&gt;0)</f>
        <v>0</v>
      </c>
      <c r="P1015">
        <f>NETWORKDAYS(Table1[[#This Row],[ts_event]],Table1[[#This Row],[option_expiry_date]])</f>
        <v>8</v>
      </c>
      <c r="Q1015">
        <f>Table1[[#This Row],[Column2]]/252</f>
        <v>3.1746031746031744E-2</v>
      </c>
      <c r="R1015" s="2" t="e">
        <f>IF(Table1[[#This Row],[CHECK2]]=0,NA(),
-(1/Table1[[#This Row],[T]])*LN((Table1[[#This Row],[S0]]-Table1[[#This Row],[C]]+Table1[[#This Row],[P]])/Table1[[#This Row],[K]])
)</f>
        <v>#N/A</v>
      </c>
    </row>
    <row r="1016" spans="1:18">
      <c r="A1016">
        <v>2</v>
      </c>
      <c r="B1016" t="s">
        <v>10</v>
      </c>
      <c r="C1016" s="1">
        <v>46160</v>
      </c>
      <c r="D1016" t="s">
        <v>14</v>
      </c>
      <c r="E1016">
        <v>44</v>
      </c>
      <c r="F1016" t="s">
        <v>12</v>
      </c>
      <c r="G1016" t="s">
        <v>13</v>
      </c>
      <c r="H1016" s="1">
        <v>46169</v>
      </c>
      <c r="I1016">
        <v>0.40833333333333299</v>
      </c>
      <c r="J1016">
        <v>0</v>
      </c>
      <c r="K1016">
        <v>150</v>
      </c>
      <c r="L1016">
        <v>0</v>
      </c>
      <c r="M1016">
        <v>49.430771704619097</v>
      </c>
      <c r="N1016">
        <v>1.931</v>
      </c>
      <c r="O1016">
        <f>(Table1[[#This Row],[P]]&lt;&gt;0)*(Table1[[#This Row],[C]]&lt;&gt;0)</f>
        <v>0</v>
      </c>
      <c r="P1016">
        <f>NETWORKDAYS(Table1[[#This Row],[ts_event]],Table1[[#This Row],[option_expiry_date]])</f>
        <v>8</v>
      </c>
      <c r="Q1016">
        <f>Table1[[#This Row],[Column2]]/252</f>
        <v>3.1746031746031744E-2</v>
      </c>
      <c r="R1016" s="2" t="e">
        <f>IF(Table1[[#This Row],[CHECK2]]=0,NA(),
-(1/Table1[[#This Row],[T]])*LN((Table1[[#This Row],[S0]]-Table1[[#This Row],[C]]+Table1[[#This Row],[P]])/Table1[[#This Row],[K]])
)</f>
        <v>#N/A</v>
      </c>
    </row>
    <row r="1017" spans="1:18">
      <c r="A1017">
        <v>4</v>
      </c>
      <c r="B1017" t="s">
        <v>10</v>
      </c>
      <c r="C1017" s="1">
        <v>46160</v>
      </c>
      <c r="D1017" t="s">
        <v>14</v>
      </c>
      <c r="E1017">
        <v>45</v>
      </c>
      <c r="F1017" t="s">
        <v>12</v>
      </c>
      <c r="G1017" t="s">
        <v>13</v>
      </c>
      <c r="H1017" s="1">
        <v>46169</v>
      </c>
      <c r="I1017">
        <v>0.83701570680628201</v>
      </c>
      <c r="J1017">
        <v>6</v>
      </c>
      <c r="K1017">
        <v>4775</v>
      </c>
      <c r="L1017">
        <v>750</v>
      </c>
      <c r="M1017">
        <v>49.430771704619097</v>
      </c>
      <c r="N1017">
        <v>1.931</v>
      </c>
      <c r="O1017">
        <f>(Table1[[#This Row],[P]]&lt;&gt;0)*(Table1[[#This Row],[C]]&lt;&gt;0)</f>
        <v>1</v>
      </c>
      <c r="P1017">
        <f>NETWORKDAYS(Table1[[#This Row],[ts_event]],Table1[[#This Row],[option_expiry_date]])</f>
        <v>8</v>
      </c>
      <c r="Q1017">
        <f>Table1[[#This Row],[Column2]]/252</f>
        <v>3.1746031746031744E-2</v>
      </c>
      <c r="R1017" s="2">
        <f>IF(Table1[[#This Row],[CHECK2]]=0,NA(),
-(1/Table1[[#This Row],[T]])*LN((Table1[[#This Row],[S0]]-Table1[[#This Row],[C]]+Table1[[#This Row],[P]])/Table1[[#This Row],[K]])
)</f>
        <v>0.51676454615322687</v>
      </c>
    </row>
    <row r="1018" spans="1:18">
      <c r="A1018">
        <v>1</v>
      </c>
      <c r="B1018" t="s">
        <v>10</v>
      </c>
      <c r="C1018" s="1">
        <v>46160</v>
      </c>
      <c r="D1018" t="s">
        <v>14</v>
      </c>
      <c r="E1018">
        <v>46</v>
      </c>
      <c r="F1018" t="s">
        <v>12</v>
      </c>
      <c r="G1018" t="s">
        <v>13</v>
      </c>
      <c r="H1018" s="1">
        <v>46169</v>
      </c>
      <c r="I1018">
        <v>1.27</v>
      </c>
      <c r="J1018">
        <v>0</v>
      </c>
      <c r="K1018">
        <v>150</v>
      </c>
      <c r="L1018">
        <v>0</v>
      </c>
      <c r="M1018">
        <v>49.430771704619097</v>
      </c>
      <c r="N1018">
        <v>1.931</v>
      </c>
      <c r="O1018">
        <f>(Table1[[#This Row],[P]]&lt;&gt;0)*(Table1[[#This Row],[C]]&lt;&gt;0)</f>
        <v>0</v>
      </c>
      <c r="P1018">
        <f>NETWORKDAYS(Table1[[#This Row],[ts_event]],Table1[[#This Row],[option_expiry_date]])</f>
        <v>8</v>
      </c>
      <c r="Q1018">
        <f>Table1[[#This Row],[Column2]]/252</f>
        <v>3.1746031746031744E-2</v>
      </c>
      <c r="R1018" s="2" t="e">
        <f>IF(Table1[[#This Row],[CHECK2]]=0,NA(),
-(1/Table1[[#This Row],[T]])*LN((Table1[[#This Row],[S0]]-Table1[[#This Row],[C]]+Table1[[#This Row],[P]])/Table1[[#This Row],[K]])
)</f>
        <v>#N/A</v>
      </c>
    </row>
    <row r="1019" spans="1:18">
      <c r="A1019">
        <v>2</v>
      </c>
      <c r="B1019" t="s">
        <v>10</v>
      </c>
      <c r="C1019" s="1">
        <v>46160</v>
      </c>
      <c r="D1019" t="s">
        <v>14</v>
      </c>
      <c r="E1019">
        <v>47</v>
      </c>
      <c r="F1019" t="s">
        <v>12</v>
      </c>
      <c r="G1019" t="s">
        <v>13</v>
      </c>
      <c r="H1019" s="1">
        <v>46169</v>
      </c>
      <c r="I1019">
        <v>0.96128571428571397</v>
      </c>
      <c r="J1019">
        <v>0</v>
      </c>
      <c r="K1019">
        <v>3500</v>
      </c>
      <c r="L1019">
        <v>0</v>
      </c>
      <c r="M1019">
        <v>49.430771704619097</v>
      </c>
      <c r="N1019">
        <v>1.931</v>
      </c>
      <c r="O1019">
        <f>(Table1[[#This Row],[P]]&lt;&gt;0)*(Table1[[#This Row],[C]]&lt;&gt;0)</f>
        <v>0</v>
      </c>
      <c r="P1019">
        <f>NETWORKDAYS(Table1[[#This Row],[ts_event]],Table1[[#This Row],[option_expiry_date]])</f>
        <v>8</v>
      </c>
      <c r="Q1019">
        <f>Table1[[#This Row],[Column2]]/252</f>
        <v>3.1746031746031744E-2</v>
      </c>
      <c r="R1019" s="2" t="e">
        <f>IF(Table1[[#This Row],[CHECK2]]=0,NA(),
-(1/Table1[[#This Row],[T]])*LN((Table1[[#This Row],[S0]]-Table1[[#This Row],[C]]+Table1[[#This Row],[P]])/Table1[[#This Row],[K]])
)</f>
        <v>#N/A</v>
      </c>
    </row>
    <row r="1020" spans="1:18">
      <c r="A1020">
        <v>3</v>
      </c>
      <c r="B1020" t="s">
        <v>10</v>
      </c>
      <c r="C1020" s="1">
        <v>46160</v>
      </c>
      <c r="D1020" t="s">
        <v>14</v>
      </c>
      <c r="E1020">
        <v>48</v>
      </c>
      <c r="F1020" t="s">
        <v>12</v>
      </c>
      <c r="G1020" t="s">
        <v>13</v>
      </c>
      <c r="H1020" s="1">
        <v>46169</v>
      </c>
      <c r="I1020">
        <v>1.21169811320754</v>
      </c>
      <c r="J1020">
        <v>4.5</v>
      </c>
      <c r="K1020">
        <v>2650</v>
      </c>
      <c r="L1020">
        <v>15</v>
      </c>
      <c r="M1020">
        <v>49.430771704619097</v>
      </c>
      <c r="N1020">
        <v>1.931</v>
      </c>
      <c r="O1020">
        <f>(Table1[[#This Row],[P]]&lt;&gt;0)*(Table1[[#This Row],[C]]&lt;&gt;0)</f>
        <v>1</v>
      </c>
      <c r="P1020">
        <f>NETWORKDAYS(Table1[[#This Row],[ts_event]],Table1[[#This Row],[option_expiry_date]])</f>
        <v>8</v>
      </c>
      <c r="Q1020">
        <f>Table1[[#This Row],[Column2]]/252</f>
        <v>3.1746031746031744E-2</v>
      </c>
      <c r="R1020" s="2">
        <f>IF(Table1[[#This Row],[CHECK2]]=0,NA(),
-(1/Table1[[#This Row],[T]])*LN((Table1[[#This Row],[S0]]-Table1[[#This Row],[C]]+Table1[[#This Row],[P]])/Table1[[#This Row],[K]])
)</f>
        <v>1.2432177707256296</v>
      </c>
    </row>
    <row r="1021" spans="1:18">
      <c r="A1021">
        <v>1</v>
      </c>
      <c r="B1021" t="s">
        <v>10</v>
      </c>
      <c r="C1021" s="1">
        <v>46160</v>
      </c>
      <c r="D1021" t="s">
        <v>14</v>
      </c>
      <c r="E1021">
        <v>49</v>
      </c>
      <c r="F1021" t="s">
        <v>12</v>
      </c>
      <c r="G1021" t="s">
        <v>13</v>
      </c>
      <c r="H1021" s="1">
        <v>46169</v>
      </c>
      <c r="I1021">
        <v>2.4900000000000002</v>
      </c>
      <c r="J1021">
        <v>0</v>
      </c>
      <c r="K1021">
        <v>425</v>
      </c>
      <c r="L1021">
        <v>0</v>
      </c>
      <c r="M1021">
        <v>49.430771704619097</v>
      </c>
      <c r="N1021">
        <v>1.931</v>
      </c>
      <c r="O1021">
        <f>(Table1[[#This Row],[P]]&lt;&gt;0)*(Table1[[#This Row],[C]]&lt;&gt;0)</f>
        <v>0</v>
      </c>
      <c r="P1021">
        <f>NETWORKDAYS(Table1[[#This Row],[ts_event]],Table1[[#This Row],[option_expiry_date]])</f>
        <v>8</v>
      </c>
      <c r="Q1021">
        <f>Table1[[#This Row],[Column2]]/252</f>
        <v>3.1746031746031744E-2</v>
      </c>
      <c r="R1021" s="2" t="e">
        <f>IF(Table1[[#This Row],[CHECK2]]=0,NA(),
-(1/Table1[[#This Row],[T]])*LN((Table1[[#This Row],[S0]]-Table1[[#This Row],[C]]+Table1[[#This Row],[P]])/Table1[[#This Row],[K]])
)</f>
        <v>#N/A</v>
      </c>
    </row>
    <row r="1022" spans="1:18">
      <c r="A1022">
        <v>2</v>
      </c>
      <c r="B1022" t="s">
        <v>10</v>
      </c>
      <c r="C1022" s="1">
        <v>46160</v>
      </c>
      <c r="D1022" t="s">
        <v>14</v>
      </c>
      <c r="E1022">
        <v>50</v>
      </c>
      <c r="F1022" t="s">
        <v>12</v>
      </c>
      <c r="G1022" t="s">
        <v>13</v>
      </c>
      <c r="H1022" s="1">
        <v>46169</v>
      </c>
      <c r="I1022">
        <v>2.6749999999999998</v>
      </c>
      <c r="J1022">
        <v>2.8250000000000002</v>
      </c>
      <c r="K1022">
        <v>2150</v>
      </c>
      <c r="L1022">
        <v>1200</v>
      </c>
      <c r="M1022">
        <v>49.430771704619097</v>
      </c>
      <c r="N1022">
        <v>1.931</v>
      </c>
      <c r="O1022">
        <f>(Table1[[#This Row],[P]]&lt;&gt;0)*(Table1[[#This Row],[C]]&lt;&gt;0)</f>
        <v>1</v>
      </c>
      <c r="P1022">
        <f>NETWORKDAYS(Table1[[#This Row],[ts_event]],Table1[[#This Row],[option_expiry_date]])</f>
        <v>8</v>
      </c>
      <c r="Q1022">
        <f>Table1[[#This Row],[Column2]]/252</f>
        <v>3.1746031746031744E-2</v>
      </c>
      <c r="R1022" s="2">
        <f>IF(Table1[[#This Row],[CHECK2]]=0,NA(),
-(1/Table1[[#This Row],[T]])*LN((Table1[[#This Row],[S0]]-Table1[[#This Row],[C]]+Table1[[#This Row],[P]])/Table1[[#This Row],[K]])
)</f>
        <v>0.45640434215272085</v>
      </c>
    </row>
    <row r="1023" spans="1:18">
      <c r="A1023">
        <v>4</v>
      </c>
      <c r="B1023" t="s">
        <v>10</v>
      </c>
      <c r="C1023" s="1">
        <v>46160</v>
      </c>
      <c r="D1023" t="s">
        <v>14</v>
      </c>
      <c r="E1023">
        <v>51</v>
      </c>
      <c r="F1023" t="s">
        <v>12</v>
      </c>
      <c r="G1023" t="s">
        <v>13</v>
      </c>
      <c r="H1023" s="1">
        <v>46169</v>
      </c>
      <c r="I1023">
        <v>2.69819819819819</v>
      </c>
      <c r="J1023">
        <v>2.7472072072071998</v>
      </c>
      <c r="K1023">
        <v>1110</v>
      </c>
      <c r="L1023">
        <v>1110</v>
      </c>
      <c r="M1023">
        <v>49.430771704619097</v>
      </c>
      <c r="N1023">
        <v>1.931</v>
      </c>
      <c r="O1023">
        <f>(Table1[[#This Row],[P]]&lt;&gt;0)*(Table1[[#This Row],[C]]&lt;&gt;0)</f>
        <v>1</v>
      </c>
      <c r="P1023">
        <f>NETWORKDAYS(Table1[[#This Row],[ts_event]],Table1[[#This Row],[option_expiry_date]])</f>
        <v>8</v>
      </c>
      <c r="Q1023">
        <f>Table1[[#This Row],[Column2]]/252</f>
        <v>3.1746031746031744E-2</v>
      </c>
      <c r="R1023" s="2">
        <f>IF(Table1[[#This Row],[CHECK2]]=0,NA(),
-(1/Table1[[#This Row],[T]])*LN((Table1[[#This Row],[S0]]-Table1[[#This Row],[C]]+Table1[[#This Row],[P]])/Table1[[#This Row],[K]])
)</f>
        <v>1.0157002661920098</v>
      </c>
    </row>
    <row r="1024" spans="1:18">
      <c r="A1024">
        <v>2</v>
      </c>
      <c r="B1024" t="s">
        <v>10</v>
      </c>
      <c r="C1024" s="1">
        <v>46160</v>
      </c>
      <c r="D1024" t="s">
        <v>14</v>
      </c>
      <c r="E1024">
        <v>52</v>
      </c>
      <c r="F1024" t="s">
        <v>12</v>
      </c>
      <c r="G1024" t="s">
        <v>13</v>
      </c>
      <c r="H1024" s="1">
        <v>46169</v>
      </c>
      <c r="I1024">
        <v>0</v>
      </c>
      <c r="J1024">
        <v>2.2068867924528299</v>
      </c>
      <c r="K1024">
        <v>0</v>
      </c>
      <c r="L1024">
        <v>265</v>
      </c>
      <c r="M1024">
        <v>49.430771704619097</v>
      </c>
      <c r="N1024">
        <v>1.931</v>
      </c>
      <c r="O1024">
        <f>(Table1[[#This Row],[P]]&lt;&gt;0)*(Table1[[#This Row],[C]]&lt;&gt;0)</f>
        <v>0</v>
      </c>
      <c r="P1024">
        <f>NETWORKDAYS(Table1[[#This Row],[ts_event]],Table1[[#This Row],[option_expiry_date]])</f>
        <v>8</v>
      </c>
      <c r="Q1024">
        <f>Table1[[#This Row],[Column2]]/252</f>
        <v>3.1746031746031744E-2</v>
      </c>
      <c r="R1024" s="2" t="e">
        <f>IF(Table1[[#This Row],[CHECK2]]=0,NA(),
-(1/Table1[[#This Row],[T]])*LN((Table1[[#This Row],[S0]]-Table1[[#This Row],[C]]+Table1[[#This Row],[P]])/Table1[[#This Row],[K]])
)</f>
        <v>#N/A</v>
      </c>
    </row>
    <row r="1025" spans="1:18">
      <c r="A1025">
        <v>2</v>
      </c>
      <c r="B1025" t="s">
        <v>10</v>
      </c>
      <c r="C1025" s="1">
        <v>46160</v>
      </c>
      <c r="D1025" t="s">
        <v>14</v>
      </c>
      <c r="E1025">
        <v>53</v>
      </c>
      <c r="F1025" t="s">
        <v>12</v>
      </c>
      <c r="G1025" t="s">
        <v>13</v>
      </c>
      <c r="H1025" s="1">
        <v>46169</v>
      </c>
      <c r="I1025">
        <v>0</v>
      </c>
      <c r="J1025">
        <v>1.7522727272727201</v>
      </c>
      <c r="K1025">
        <v>0</v>
      </c>
      <c r="L1025">
        <v>3300</v>
      </c>
      <c r="M1025">
        <v>49.430771704619097</v>
      </c>
      <c r="N1025">
        <v>1.931</v>
      </c>
      <c r="O1025">
        <f>(Table1[[#This Row],[P]]&lt;&gt;0)*(Table1[[#This Row],[C]]&lt;&gt;0)</f>
        <v>0</v>
      </c>
      <c r="P1025">
        <f>NETWORKDAYS(Table1[[#This Row],[ts_event]],Table1[[#This Row],[option_expiry_date]])</f>
        <v>8</v>
      </c>
      <c r="Q1025">
        <f>Table1[[#This Row],[Column2]]/252</f>
        <v>3.1746031746031744E-2</v>
      </c>
      <c r="R1025" s="2" t="e">
        <f>IF(Table1[[#This Row],[CHECK2]]=0,NA(),
-(1/Table1[[#This Row],[T]])*LN((Table1[[#This Row],[S0]]-Table1[[#This Row],[C]]+Table1[[#This Row],[P]])/Table1[[#This Row],[K]])
)</f>
        <v>#N/A</v>
      </c>
    </row>
    <row r="1026" spans="1:18">
      <c r="A1026">
        <v>1</v>
      </c>
      <c r="B1026" t="s">
        <v>10</v>
      </c>
      <c r="C1026" s="1">
        <v>46160</v>
      </c>
      <c r="D1026" t="s">
        <v>14</v>
      </c>
      <c r="E1026">
        <v>54</v>
      </c>
      <c r="F1026" t="s">
        <v>12</v>
      </c>
      <c r="G1026" t="s">
        <v>13</v>
      </c>
      <c r="H1026" s="1">
        <v>46169</v>
      </c>
      <c r="I1026">
        <v>0</v>
      </c>
      <c r="J1026">
        <v>1.4550000000000001</v>
      </c>
      <c r="K1026">
        <v>0</v>
      </c>
      <c r="L1026">
        <v>75</v>
      </c>
      <c r="M1026">
        <v>49.430771704619097</v>
      </c>
      <c r="N1026">
        <v>1.931</v>
      </c>
      <c r="O1026">
        <f>(Table1[[#This Row],[P]]&lt;&gt;0)*(Table1[[#This Row],[C]]&lt;&gt;0)</f>
        <v>0</v>
      </c>
      <c r="P1026">
        <f>NETWORKDAYS(Table1[[#This Row],[ts_event]],Table1[[#This Row],[option_expiry_date]])</f>
        <v>8</v>
      </c>
      <c r="Q1026">
        <f>Table1[[#This Row],[Column2]]/252</f>
        <v>3.1746031746031744E-2</v>
      </c>
      <c r="R1026" s="2" t="e">
        <f>IF(Table1[[#This Row],[CHECK2]]=0,NA(),
-(1/Table1[[#This Row],[T]])*LN((Table1[[#This Row],[S0]]-Table1[[#This Row],[C]]+Table1[[#This Row],[P]])/Table1[[#This Row],[K]])
)</f>
        <v>#N/A</v>
      </c>
    </row>
    <row r="1027" spans="1:18">
      <c r="A1027">
        <v>2</v>
      </c>
      <c r="B1027" t="s">
        <v>10</v>
      </c>
      <c r="C1027" s="1">
        <v>46160</v>
      </c>
      <c r="D1027" t="s">
        <v>14</v>
      </c>
      <c r="E1027">
        <v>55</v>
      </c>
      <c r="F1027" t="s">
        <v>12</v>
      </c>
      <c r="G1027" t="s">
        <v>13</v>
      </c>
      <c r="H1027" s="1">
        <v>46169</v>
      </c>
      <c r="I1027">
        <v>0</v>
      </c>
      <c r="J1027">
        <v>1.29817444219066</v>
      </c>
      <c r="K1027">
        <v>0</v>
      </c>
      <c r="L1027">
        <v>2465</v>
      </c>
      <c r="M1027">
        <v>49.430771704619097</v>
      </c>
      <c r="N1027">
        <v>1.931</v>
      </c>
      <c r="O1027">
        <f>(Table1[[#This Row],[P]]&lt;&gt;0)*(Table1[[#This Row],[C]]&lt;&gt;0)</f>
        <v>0</v>
      </c>
      <c r="P1027">
        <f>NETWORKDAYS(Table1[[#This Row],[ts_event]],Table1[[#This Row],[option_expiry_date]])</f>
        <v>8</v>
      </c>
      <c r="Q1027">
        <f>Table1[[#This Row],[Column2]]/252</f>
        <v>3.1746031746031744E-2</v>
      </c>
      <c r="R1027" s="2" t="e">
        <f>IF(Table1[[#This Row],[CHECK2]]=0,NA(),
-(1/Table1[[#This Row],[T]])*LN((Table1[[#This Row],[S0]]-Table1[[#This Row],[C]]+Table1[[#This Row],[P]])/Table1[[#This Row],[K]])
)</f>
        <v>#N/A</v>
      </c>
    </row>
    <row r="1028" spans="1:18">
      <c r="A1028">
        <v>1</v>
      </c>
      <c r="B1028" t="s">
        <v>10</v>
      </c>
      <c r="C1028" s="1">
        <v>46160</v>
      </c>
      <c r="D1028" t="s">
        <v>14</v>
      </c>
      <c r="E1028">
        <v>57</v>
      </c>
      <c r="F1028" t="s">
        <v>12</v>
      </c>
      <c r="G1028" t="s">
        <v>13</v>
      </c>
      <c r="H1028" s="1">
        <v>46169</v>
      </c>
      <c r="I1028">
        <v>0</v>
      </c>
      <c r="J1028">
        <v>0.92500000000000004</v>
      </c>
      <c r="K1028">
        <v>0</v>
      </c>
      <c r="L1028">
        <v>3000</v>
      </c>
      <c r="M1028">
        <v>49.430771704619097</v>
      </c>
      <c r="N1028">
        <v>1.931</v>
      </c>
      <c r="O1028">
        <f>(Table1[[#This Row],[P]]&lt;&gt;0)*(Table1[[#This Row],[C]]&lt;&gt;0)</f>
        <v>0</v>
      </c>
      <c r="P1028">
        <f>NETWORKDAYS(Table1[[#This Row],[ts_event]],Table1[[#This Row],[option_expiry_date]])</f>
        <v>8</v>
      </c>
      <c r="Q1028">
        <f>Table1[[#This Row],[Column2]]/252</f>
        <v>3.1746031746031744E-2</v>
      </c>
      <c r="R1028" s="2" t="e">
        <f>IF(Table1[[#This Row],[CHECK2]]=0,NA(),
-(1/Table1[[#This Row],[T]])*LN((Table1[[#This Row],[S0]]-Table1[[#This Row],[C]]+Table1[[#This Row],[P]])/Table1[[#This Row],[K]])
)</f>
        <v>#N/A</v>
      </c>
    </row>
    <row r="1029" spans="1:18">
      <c r="A1029">
        <v>2</v>
      </c>
      <c r="B1029" t="s">
        <v>10</v>
      </c>
      <c r="C1029" s="1">
        <v>46160</v>
      </c>
      <c r="D1029" t="s">
        <v>14</v>
      </c>
      <c r="E1029">
        <v>58</v>
      </c>
      <c r="F1029" t="s">
        <v>12</v>
      </c>
      <c r="G1029" t="s">
        <v>13</v>
      </c>
      <c r="H1029" s="1">
        <v>46169</v>
      </c>
      <c r="I1029">
        <v>0</v>
      </c>
      <c r="J1029">
        <v>0.8</v>
      </c>
      <c r="K1029">
        <v>0</v>
      </c>
      <c r="L1029">
        <v>150</v>
      </c>
      <c r="M1029">
        <v>49.430771704619097</v>
      </c>
      <c r="N1029">
        <v>1.931</v>
      </c>
      <c r="O1029">
        <f>(Table1[[#This Row],[P]]&lt;&gt;0)*(Table1[[#This Row],[C]]&lt;&gt;0)</f>
        <v>0</v>
      </c>
      <c r="P1029">
        <f>NETWORKDAYS(Table1[[#This Row],[ts_event]],Table1[[#This Row],[option_expiry_date]])</f>
        <v>8</v>
      </c>
      <c r="Q1029">
        <f>Table1[[#This Row],[Column2]]/252</f>
        <v>3.1746031746031744E-2</v>
      </c>
      <c r="R1029" s="2" t="e">
        <f>IF(Table1[[#This Row],[CHECK2]]=0,NA(),
-(1/Table1[[#This Row],[T]])*LN((Table1[[#This Row],[S0]]-Table1[[#This Row],[C]]+Table1[[#This Row],[P]])/Table1[[#This Row],[K]])
)</f>
        <v>#N/A</v>
      </c>
    </row>
    <row r="1030" spans="1:18">
      <c r="A1030">
        <v>2</v>
      </c>
      <c r="B1030" t="s">
        <v>10</v>
      </c>
      <c r="C1030" s="1">
        <v>46160</v>
      </c>
      <c r="D1030" t="s">
        <v>14</v>
      </c>
      <c r="E1030">
        <v>60</v>
      </c>
      <c r="F1030" t="s">
        <v>12</v>
      </c>
      <c r="G1030" t="s">
        <v>13</v>
      </c>
      <c r="H1030" s="1">
        <v>46169</v>
      </c>
      <c r="I1030">
        <v>0</v>
      </c>
      <c r="J1030">
        <v>0.64426470588235296</v>
      </c>
      <c r="K1030">
        <v>0</v>
      </c>
      <c r="L1030">
        <v>1700</v>
      </c>
      <c r="M1030">
        <v>49.430771704619097</v>
      </c>
      <c r="N1030">
        <v>1.931</v>
      </c>
      <c r="O1030">
        <f>(Table1[[#This Row],[P]]&lt;&gt;0)*(Table1[[#This Row],[C]]&lt;&gt;0)</f>
        <v>0</v>
      </c>
      <c r="P1030">
        <f>NETWORKDAYS(Table1[[#This Row],[ts_event]],Table1[[#This Row],[option_expiry_date]])</f>
        <v>8</v>
      </c>
      <c r="Q1030">
        <f>Table1[[#This Row],[Column2]]/252</f>
        <v>3.1746031746031744E-2</v>
      </c>
      <c r="R1030" s="2" t="e">
        <f>IF(Table1[[#This Row],[CHECK2]]=0,NA(),
-(1/Table1[[#This Row],[T]])*LN((Table1[[#This Row],[S0]]-Table1[[#This Row],[C]]+Table1[[#This Row],[P]])/Table1[[#This Row],[K]])
)</f>
        <v>#N/A</v>
      </c>
    </row>
    <row r="1031" spans="1:18">
      <c r="A1031">
        <v>1</v>
      </c>
      <c r="B1031" t="s">
        <v>10</v>
      </c>
      <c r="C1031" s="1">
        <v>46160</v>
      </c>
      <c r="D1031" t="s">
        <v>14</v>
      </c>
      <c r="E1031">
        <v>65</v>
      </c>
      <c r="F1031" t="s">
        <v>12</v>
      </c>
      <c r="G1031" t="s">
        <v>13</v>
      </c>
      <c r="H1031" s="1">
        <v>46169</v>
      </c>
      <c r="I1031">
        <v>0</v>
      </c>
      <c r="J1031">
        <v>0.28000000000000003</v>
      </c>
      <c r="K1031">
        <v>0</v>
      </c>
      <c r="L1031">
        <v>415</v>
      </c>
      <c r="M1031">
        <v>49.430771704619097</v>
      </c>
      <c r="N1031">
        <v>1.931</v>
      </c>
      <c r="O1031">
        <f>(Table1[[#This Row],[P]]&lt;&gt;0)*(Table1[[#This Row],[C]]&lt;&gt;0)</f>
        <v>0</v>
      </c>
      <c r="P1031">
        <f>NETWORKDAYS(Table1[[#This Row],[ts_event]],Table1[[#This Row],[option_expiry_date]])</f>
        <v>8</v>
      </c>
      <c r="Q1031">
        <f>Table1[[#This Row],[Column2]]/252</f>
        <v>3.1746031746031744E-2</v>
      </c>
      <c r="R1031" s="2" t="e">
        <f>IF(Table1[[#This Row],[CHECK2]]=0,NA(),
-(1/Table1[[#This Row],[T]])*LN((Table1[[#This Row],[S0]]-Table1[[#This Row],[C]]+Table1[[#This Row],[P]])/Table1[[#This Row],[K]])
)</f>
        <v>#N/A</v>
      </c>
    </row>
    <row r="1032" spans="1:18">
      <c r="A1032">
        <v>2</v>
      </c>
      <c r="B1032" t="s">
        <v>10</v>
      </c>
      <c r="C1032" s="1">
        <v>46160</v>
      </c>
      <c r="D1032" t="s">
        <v>14</v>
      </c>
      <c r="E1032">
        <v>70</v>
      </c>
      <c r="F1032" t="s">
        <v>12</v>
      </c>
      <c r="G1032" t="s">
        <v>13</v>
      </c>
      <c r="H1032" s="1">
        <v>46169</v>
      </c>
      <c r="I1032">
        <v>0</v>
      </c>
      <c r="J1032">
        <v>0.19</v>
      </c>
      <c r="K1032">
        <v>0</v>
      </c>
      <c r="L1032">
        <v>225</v>
      </c>
      <c r="M1032">
        <v>49.430771704619097</v>
      </c>
      <c r="N1032">
        <v>1.931</v>
      </c>
      <c r="O1032">
        <f>(Table1[[#This Row],[P]]&lt;&gt;0)*(Table1[[#This Row],[C]]&lt;&gt;0)</f>
        <v>0</v>
      </c>
      <c r="P1032">
        <f>NETWORKDAYS(Table1[[#This Row],[ts_event]],Table1[[#This Row],[option_expiry_date]])</f>
        <v>8</v>
      </c>
      <c r="Q1032">
        <f>Table1[[#This Row],[Column2]]/252</f>
        <v>3.1746031746031744E-2</v>
      </c>
      <c r="R1032" s="2" t="e">
        <f>IF(Table1[[#This Row],[CHECK2]]=0,NA(),
-(1/Table1[[#This Row],[T]])*LN((Table1[[#This Row],[S0]]-Table1[[#This Row],[C]]+Table1[[#This Row],[P]])/Table1[[#This Row],[K]])
)</f>
        <v>#N/A</v>
      </c>
    </row>
    <row r="1033" spans="1:18">
      <c r="A1033">
        <v>1</v>
      </c>
      <c r="B1033" t="s">
        <v>10</v>
      </c>
      <c r="C1033" s="1">
        <v>46160</v>
      </c>
      <c r="D1033" t="s">
        <v>14</v>
      </c>
      <c r="E1033">
        <v>80</v>
      </c>
      <c r="F1033" t="s">
        <v>12</v>
      </c>
      <c r="G1033" t="s">
        <v>13</v>
      </c>
      <c r="H1033" s="1">
        <v>46169</v>
      </c>
      <c r="I1033">
        <v>0</v>
      </c>
      <c r="J1033">
        <v>0.15</v>
      </c>
      <c r="K1033">
        <v>0</v>
      </c>
      <c r="L1033">
        <v>300</v>
      </c>
      <c r="M1033">
        <v>49.430771704619097</v>
      </c>
      <c r="N1033">
        <v>1.931</v>
      </c>
      <c r="O1033">
        <f>(Table1[[#This Row],[P]]&lt;&gt;0)*(Table1[[#This Row],[C]]&lt;&gt;0)</f>
        <v>0</v>
      </c>
      <c r="P1033">
        <f>NETWORKDAYS(Table1[[#This Row],[ts_event]],Table1[[#This Row],[option_expiry_date]])</f>
        <v>8</v>
      </c>
      <c r="Q1033">
        <f>Table1[[#This Row],[Column2]]/252</f>
        <v>3.1746031746031744E-2</v>
      </c>
      <c r="R1033" s="2" t="e">
        <f>IF(Table1[[#This Row],[CHECK2]]=0,NA(),
-(1/Table1[[#This Row],[T]])*LN((Table1[[#This Row],[S0]]-Table1[[#This Row],[C]]+Table1[[#This Row],[P]])/Table1[[#This Row],[K]])
)</f>
        <v>#N/A</v>
      </c>
    </row>
    <row r="1034" spans="1:18">
      <c r="A1034">
        <v>2</v>
      </c>
      <c r="B1034" t="s">
        <v>10</v>
      </c>
      <c r="C1034" s="1">
        <v>46160</v>
      </c>
      <c r="D1034" t="s">
        <v>15</v>
      </c>
      <c r="E1034">
        <v>30</v>
      </c>
      <c r="F1034" t="s">
        <v>12</v>
      </c>
      <c r="G1034" t="s">
        <v>13</v>
      </c>
      <c r="H1034" s="1">
        <v>46199</v>
      </c>
      <c r="I1034">
        <v>0.13</v>
      </c>
      <c r="J1034">
        <v>0</v>
      </c>
      <c r="K1034">
        <v>300</v>
      </c>
      <c r="L1034">
        <v>0</v>
      </c>
      <c r="M1034">
        <v>49.552370517928203</v>
      </c>
      <c r="N1034">
        <v>1.931</v>
      </c>
      <c r="O1034">
        <f>(Table1[[#This Row],[P]]&lt;&gt;0)*(Table1[[#This Row],[C]]&lt;&gt;0)</f>
        <v>0</v>
      </c>
      <c r="P1034">
        <f>NETWORKDAYS(Table1[[#This Row],[ts_event]],Table1[[#This Row],[option_expiry_date]])</f>
        <v>30</v>
      </c>
      <c r="Q1034">
        <f>Table1[[#This Row],[Column2]]/252</f>
        <v>0.11904761904761904</v>
      </c>
      <c r="R1034" s="2" t="e">
        <f>IF(Table1[[#This Row],[CHECK2]]=0,NA(),
-(1/Table1[[#This Row],[T]])*LN((Table1[[#This Row],[S0]]-Table1[[#This Row],[C]]+Table1[[#This Row],[P]])/Table1[[#This Row],[K]])
)</f>
        <v>#N/A</v>
      </c>
    </row>
    <row r="1035" spans="1:18">
      <c r="A1035">
        <v>1</v>
      </c>
      <c r="B1035" t="s">
        <v>10</v>
      </c>
      <c r="C1035" s="1">
        <v>46160</v>
      </c>
      <c r="D1035" t="s">
        <v>15</v>
      </c>
      <c r="E1035">
        <v>33</v>
      </c>
      <c r="F1035" t="s">
        <v>12</v>
      </c>
      <c r="G1035" t="s">
        <v>13</v>
      </c>
      <c r="H1035" s="1">
        <v>46199</v>
      </c>
      <c r="I1035">
        <v>0.215</v>
      </c>
      <c r="J1035">
        <v>0</v>
      </c>
      <c r="K1035">
        <v>10</v>
      </c>
      <c r="L1035">
        <v>0</v>
      </c>
      <c r="M1035">
        <v>49.552370517928203</v>
      </c>
      <c r="N1035">
        <v>1.931</v>
      </c>
      <c r="O1035">
        <f>(Table1[[#This Row],[P]]&lt;&gt;0)*(Table1[[#This Row],[C]]&lt;&gt;0)</f>
        <v>0</v>
      </c>
      <c r="P1035">
        <f>NETWORKDAYS(Table1[[#This Row],[ts_event]],Table1[[#This Row],[option_expiry_date]])</f>
        <v>30</v>
      </c>
      <c r="Q1035">
        <f>Table1[[#This Row],[Column2]]/252</f>
        <v>0.11904761904761904</v>
      </c>
      <c r="R1035" s="2" t="e">
        <f>IF(Table1[[#This Row],[CHECK2]]=0,NA(),
-(1/Table1[[#This Row],[T]])*LN((Table1[[#This Row],[S0]]-Table1[[#This Row],[C]]+Table1[[#This Row],[P]])/Table1[[#This Row],[K]])
)</f>
        <v>#N/A</v>
      </c>
    </row>
    <row r="1036" spans="1:18">
      <c r="A1036">
        <v>1</v>
      </c>
      <c r="B1036" t="s">
        <v>10</v>
      </c>
      <c r="C1036" s="1">
        <v>46160</v>
      </c>
      <c r="D1036" t="s">
        <v>15</v>
      </c>
      <c r="E1036">
        <v>34</v>
      </c>
      <c r="F1036" t="s">
        <v>12</v>
      </c>
      <c r="G1036" t="s">
        <v>13</v>
      </c>
      <c r="H1036" s="1">
        <v>46199</v>
      </c>
      <c r="I1036">
        <v>0.25</v>
      </c>
      <c r="J1036">
        <v>0</v>
      </c>
      <c r="K1036">
        <v>150</v>
      </c>
      <c r="L1036">
        <v>0</v>
      </c>
      <c r="M1036">
        <v>49.552370517928203</v>
      </c>
      <c r="N1036">
        <v>1.931</v>
      </c>
      <c r="O1036">
        <f>(Table1[[#This Row],[P]]&lt;&gt;0)*(Table1[[#This Row],[C]]&lt;&gt;0)</f>
        <v>0</v>
      </c>
      <c r="P1036">
        <f>NETWORKDAYS(Table1[[#This Row],[ts_event]],Table1[[#This Row],[option_expiry_date]])</f>
        <v>30</v>
      </c>
      <c r="Q1036">
        <f>Table1[[#This Row],[Column2]]/252</f>
        <v>0.11904761904761904</v>
      </c>
      <c r="R1036" s="2" t="e">
        <f>IF(Table1[[#This Row],[CHECK2]]=0,NA(),
-(1/Table1[[#This Row],[T]])*LN((Table1[[#This Row],[S0]]-Table1[[#This Row],[C]]+Table1[[#This Row],[P]])/Table1[[#This Row],[K]])
)</f>
        <v>#N/A</v>
      </c>
    </row>
    <row r="1037" spans="1:18">
      <c r="A1037">
        <v>2</v>
      </c>
      <c r="B1037" t="s">
        <v>10</v>
      </c>
      <c r="C1037" s="1">
        <v>46160</v>
      </c>
      <c r="D1037" t="s">
        <v>15</v>
      </c>
      <c r="E1037">
        <v>35</v>
      </c>
      <c r="F1037" t="s">
        <v>12</v>
      </c>
      <c r="G1037" t="s">
        <v>13</v>
      </c>
      <c r="H1037" s="1">
        <v>46199</v>
      </c>
      <c r="I1037">
        <v>0.36499999999999999</v>
      </c>
      <c r="J1037">
        <v>0</v>
      </c>
      <c r="K1037">
        <v>1000</v>
      </c>
      <c r="L1037">
        <v>0</v>
      </c>
      <c r="M1037">
        <v>49.552370517928203</v>
      </c>
      <c r="N1037">
        <v>1.931</v>
      </c>
      <c r="O1037">
        <f>(Table1[[#This Row],[P]]&lt;&gt;0)*(Table1[[#This Row],[C]]&lt;&gt;0)</f>
        <v>0</v>
      </c>
      <c r="P1037">
        <f>NETWORKDAYS(Table1[[#This Row],[ts_event]],Table1[[#This Row],[option_expiry_date]])</f>
        <v>30</v>
      </c>
      <c r="Q1037">
        <f>Table1[[#This Row],[Column2]]/252</f>
        <v>0.11904761904761904</v>
      </c>
      <c r="R1037" s="2" t="e">
        <f>IF(Table1[[#This Row],[CHECK2]]=0,NA(),
-(1/Table1[[#This Row],[T]])*LN((Table1[[#This Row],[S0]]-Table1[[#This Row],[C]]+Table1[[#This Row],[P]])/Table1[[#This Row],[K]])
)</f>
        <v>#N/A</v>
      </c>
    </row>
    <row r="1038" spans="1:18">
      <c r="A1038">
        <v>1</v>
      </c>
      <c r="B1038" t="s">
        <v>10</v>
      </c>
      <c r="C1038" s="1">
        <v>46160</v>
      </c>
      <c r="D1038" t="s">
        <v>15</v>
      </c>
      <c r="E1038">
        <v>37</v>
      </c>
      <c r="F1038" t="s">
        <v>12</v>
      </c>
      <c r="G1038" t="s">
        <v>13</v>
      </c>
      <c r="H1038" s="1">
        <v>46199</v>
      </c>
      <c r="I1038">
        <v>0.48</v>
      </c>
      <c r="J1038">
        <v>0</v>
      </c>
      <c r="K1038">
        <v>100</v>
      </c>
      <c r="L1038">
        <v>0</v>
      </c>
      <c r="M1038">
        <v>49.552370517928203</v>
      </c>
      <c r="N1038">
        <v>1.931</v>
      </c>
      <c r="O1038">
        <f>(Table1[[#This Row],[P]]&lt;&gt;0)*(Table1[[#This Row],[C]]&lt;&gt;0)</f>
        <v>0</v>
      </c>
      <c r="P1038">
        <f>NETWORKDAYS(Table1[[#This Row],[ts_event]],Table1[[#This Row],[option_expiry_date]])</f>
        <v>30</v>
      </c>
      <c r="Q1038">
        <f>Table1[[#This Row],[Column2]]/252</f>
        <v>0.11904761904761904</v>
      </c>
      <c r="R1038" s="2" t="e">
        <f>IF(Table1[[#This Row],[CHECK2]]=0,NA(),
-(1/Table1[[#This Row],[T]])*LN((Table1[[#This Row],[S0]]-Table1[[#This Row],[C]]+Table1[[#This Row],[P]])/Table1[[#This Row],[K]])
)</f>
        <v>#N/A</v>
      </c>
    </row>
    <row r="1039" spans="1:18">
      <c r="A1039">
        <v>1</v>
      </c>
      <c r="B1039" t="s">
        <v>10</v>
      </c>
      <c r="C1039" s="1">
        <v>46160</v>
      </c>
      <c r="D1039" t="s">
        <v>15</v>
      </c>
      <c r="E1039">
        <v>38</v>
      </c>
      <c r="F1039" t="s">
        <v>12</v>
      </c>
      <c r="G1039" t="s">
        <v>13</v>
      </c>
      <c r="H1039" s="1">
        <v>46199</v>
      </c>
      <c r="I1039">
        <v>0.65</v>
      </c>
      <c r="J1039">
        <v>0</v>
      </c>
      <c r="K1039">
        <v>1635</v>
      </c>
      <c r="L1039">
        <v>0</v>
      </c>
      <c r="M1039">
        <v>49.552370517928203</v>
      </c>
      <c r="N1039">
        <v>1.931</v>
      </c>
      <c r="O1039">
        <f>(Table1[[#This Row],[P]]&lt;&gt;0)*(Table1[[#This Row],[C]]&lt;&gt;0)</f>
        <v>0</v>
      </c>
      <c r="P1039">
        <f>NETWORKDAYS(Table1[[#This Row],[ts_event]],Table1[[#This Row],[option_expiry_date]])</f>
        <v>30</v>
      </c>
      <c r="Q1039">
        <f>Table1[[#This Row],[Column2]]/252</f>
        <v>0.11904761904761904</v>
      </c>
      <c r="R1039" s="2" t="e">
        <f>IF(Table1[[#This Row],[CHECK2]]=0,NA(),
-(1/Table1[[#This Row],[T]])*LN((Table1[[#This Row],[S0]]-Table1[[#This Row],[C]]+Table1[[#This Row],[P]])/Table1[[#This Row],[K]])
)</f>
        <v>#N/A</v>
      </c>
    </row>
    <row r="1040" spans="1:18">
      <c r="A1040">
        <v>2</v>
      </c>
      <c r="B1040" t="s">
        <v>10</v>
      </c>
      <c r="C1040" s="1">
        <v>46160</v>
      </c>
      <c r="D1040" t="s">
        <v>15</v>
      </c>
      <c r="E1040">
        <v>40</v>
      </c>
      <c r="F1040" t="s">
        <v>12</v>
      </c>
      <c r="G1040" t="s">
        <v>13</v>
      </c>
      <c r="H1040" s="1">
        <v>46199</v>
      </c>
      <c r="I1040">
        <v>1.17238805970149</v>
      </c>
      <c r="J1040">
        <v>0</v>
      </c>
      <c r="K1040">
        <v>5025</v>
      </c>
      <c r="L1040">
        <v>0</v>
      </c>
      <c r="M1040">
        <v>49.552370517928203</v>
      </c>
      <c r="N1040">
        <v>1.931</v>
      </c>
      <c r="O1040">
        <f>(Table1[[#This Row],[P]]&lt;&gt;0)*(Table1[[#This Row],[C]]&lt;&gt;0)</f>
        <v>0</v>
      </c>
      <c r="P1040">
        <f>NETWORKDAYS(Table1[[#This Row],[ts_event]],Table1[[#This Row],[option_expiry_date]])</f>
        <v>30</v>
      </c>
      <c r="Q1040">
        <f>Table1[[#This Row],[Column2]]/252</f>
        <v>0.11904761904761904</v>
      </c>
      <c r="R1040" s="2" t="e">
        <f>IF(Table1[[#This Row],[CHECK2]]=0,NA(),
-(1/Table1[[#This Row],[T]])*LN((Table1[[#This Row],[S0]]-Table1[[#This Row],[C]]+Table1[[#This Row],[P]])/Table1[[#This Row],[K]])
)</f>
        <v>#N/A</v>
      </c>
    </row>
    <row r="1041" spans="1:18">
      <c r="A1041">
        <v>1</v>
      </c>
      <c r="B1041" t="s">
        <v>10</v>
      </c>
      <c r="C1041" s="1">
        <v>46160</v>
      </c>
      <c r="D1041" t="s">
        <v>15</v>
      </c>
      <c r="E1041">
        <v>41</v>
      </c>
      <c r="F1041" t="s">
        <v>12</v>
      </c>
      <c r="G1041" t="s">
        <v>13</v>
      </c>
      <c r="H1041" s="1">
        <v>46199</v>
      </c>
      <c r="I1041">
        <v>1.2050000000000001</v>
      </c>
      <c r="J1041">
        <v>0</v>
      </c>
      <c r="K1041">
        <v>4050</v>
      </c>
      <c r="L1041">
        <v>0</v>
      </c>
      <c r="M1041">
        <v>49.552370517928203</v>
      </c>
      <c r="N1041">
        <v>1.931</v>
      </c>
      <c r="O1041">
        <f>(Table1[[#This Row],[P]]&lt;&gt;0)*(Table1[[#This Row],[C]]&lt;&gt;0)</f>
        <v>0</v>
      </c>
      <c r="P1041">
        <f>NETWORKDAYS(Table1[[#This Row],[ts_event]],Table1[[#This Row],[option_expiry_date]])</f>
        <v>30</v>
      </c>
      <c r="Q1041">
        <f>Table1[[#This Row],[Column2]]/252</f>
        <v>0.11904761904761904</v>
      </c>
      <c r="R1041" s="2" t="e">
        <f>IF(Table1[[#This Row],[CHECK2]]=0,NA(),
-(1/Table1[[#This Row],[T]])*LN((Table1[[#This Row],[S0]]-Table1[[#This Row],[C]]+Table1[[#This Row],[P]])/Table1[[#This Row],[K]])
)</f>
        <v>#N/A</v>
      </c>
    </row>
    <row r="1042" spans="1:18">
      <c r="A1042">
        <v>1</v>
      </c>
      <c r="B1042" t="s">
        <v>10</v>
      </c>
      <c r="C1042" s="1">
        <v>46160</v>
      </c>
      <c r="D1042" t="s">
        <v>15</v>
      </c>
      <c r="E1042">
        <v>44</v>
      </c>
      <c r="F1042" t="s">
        <v>12</v>
      </c>
      <c r="G1042" t="s">
        <v>13</v>
      </c>
      <c r="H1042" s="1">
        <v>46199</v>
      </c>
      <c r="I1042">
        <v>2.1349999999999998</v>
      </c>
      <c r="J1042">
        <v>0</v>
      </c>
      <c r="K1042">
        <v>2000</v>
      </c>
      <c r="L1042">
        <v>0</v>
      </c>
      <c r="M1042">
        <v>49.552370517928203</v>
      </c>
      <c r="N1042">
        <v>1.931</v>
      </c>
      <c r="O1042">
        <f>(Table1[[#This Row],[P]]&lt;&gt;0)*(Table1[[#This Row],[C]]&lt;&gt;0)</f>
        <v>0</v>
      </c>
      <c r="P1042">
        <f>NETWORKDAYS(Table1[[#This Row],[ts_event]],Table1[[#This Row],[option_expiry_date]])</f>
        <v>30</v>
      </c>
      <c r="Q1042">
        <f>Table1[[#This Row],[Column2]]/252</f>
        <v>0.11904761904761904</v>
      </c>
      <c r="R1042" s="2" t="e">
        <f>IF(Table1[[#This Row],[CHECK2]]=0,NA(),
-(1/Table1[[#This Row],[T]])*LN((Table1[[#This Row],[S0]]-Table1[[#This Row],[C]]+Table1[[#This Row],[P]])/Table1[[#This Row],[K]])
)</f>
        <v>#N/A</v>
      </c>
    </row>
    <row r="1043" spans="1:18">
      <c r="A1043">
        <v>1</v>
      </c>
      <c r="B1043" t="s">
        <v>10</v>
      </c>
      <c r="C1043" s="1">
        <v>46160</v>
      </c>
      <c r="D1043" t="s">
        <v>15</v>
      </c>
      <c r="E1043">
        <v>45</v>
      </c>
      <c r="F1043" t="s">
        <v>12</v>
      </c>
      <c r="G1043" t="s">
        <v>13</v>
      </c>
      <c r="H1043" s="1">
        <v>46199</v>
      </c>
      <c r="I1043">
        <v>2.7749999999999999</v>
      </c>
      <c r="J1043">
        <v>0</v>
      </c>
      <c r="K1043">
        <v>1210</v>
      </c>
      <c r="L1043">
        <v>0</v>
      </c>
      <c r="M1043">
        <v>49.552370517928203</v>
      </c>
      <c r="N1043">
        <v>1.931</v>
      </c>
      <c r="O1043">
        <f>(Table1[[#This Row],[P]]&lt;&gt;0)*(Table1[[#This Row],[C]]&lt;&gt;0)</f>
        <v>0</v>
      </c>
      <c r="P1043">
        <f>NETWORKDAYS(Table1[[#This Row],[ts_event]],Table1[[#This Row],[option_expiry_date]])</f>
        <v>30</v>
      </c>
      <c r="Q1043">
        <f>Table1[[#This Row],[Column2]]/252</f>
        <v>0.11904761904761904</v>
      </c>
      <c r="R1043" s="2" t="e">
        <f>IF(Table1[[#This Row],[CHECK2]]=0,NA(),
-(1/Table1[[#This Row],[T]])*LN((Table1[[#This Row],[S0]]-Table1[[#This Row],[C]]+Table1[[#This Row],[P]])/Table1[[#This Row],[K]])
)</f>
        <v>#N/A</v>
      </c>
    </row>
    <row r="1044" spans="1:18">
      <c r="A1044">
        <v>1</v>
      </c>
      <c r="B1044" t="s">
        <v>10</v>
      </c>
      <c r="C1044" s="1">
        <v>46160</v>
      </c>
      <c r="D1044" t="s">
        <v>15</v>
      </c>
      <c r="E1044">
        <v>47</v>
      </c>
      <c r="F1044" t="s">
        <v>12</v>
      </c>
      <c r="G1044" t="s">
        <v>13</v>
      </c>
      <c r="H1044" s="1">
        <v>46199</v>
      </c>
      <c r="I1044">
        <v>3.52</v>
      </c>
      <c r="J1044">
        <v>0</v>
      </c>
      <c r="K1044">
        <v>4670</v>
      </c>
      <c r="L1044">
        <v>0</v>
      </c>
      <c r="M1044">
        <v>49.552370517928203</v>
      </c>
      <c r="N1044">
        <v>1.931</v>
      </c>
      <c r="O1044">
        <f>(Table1[[#This Row],[P]]&lt;&gt;0)*(Table1[[#This Row],[C]]&lt;&gt;0)</f>
        <v>0</v>
      </c>
      <c r="P1044">
        <f>NETWORKDAYS(Table1[[#This Row],[ts_event]],Table1[[#This Row],[option_expiry_date]])</f>
        <v>30</v>
      </c>
      <c r="Q1044">
        <f>Table1[[#This Row],[Column2]]/252</f>
        <v>0.11904761904761904</v>
      </c>
      <c r="R1044" s="2" t="e">
        <f>IF(Table1[[#This Row],[CHECK2]]=0,NA(),
-(1/Table1[[#This Row],[T]])*LN((Table1[[#This Row],[S0]]-Table1[[#This Row],[C]]+Table1[[#This Row],[P]])/Table1[[#This Row],[K]])
)</f>
        <v>#N/A</v>
      </c>
    </row>
    <row r="1045" spans="1:18">
      <c r="A1045">
        <v>1</v>
      </c>
      <c r="B1045" t="s">
        <v>10</v>
      </c>
      <c r="C1045" s="1">
        <v>46160</v>
      </c>
      <c r="D1045" t="s">
        <v>15</v>
      </c>
      <c r="E1045">
        <v>48</v>
      </c>
      <c r="F1045" t="s">
        <v>12</v>
      </c>
      <c r="G1045" t="s">
        <v>13</v>
      </c>
      <c r="H1045" s="1">
        <v>46199</v>
      </c>
      <c r="I1045">
        <v>3.9</v>
      </c>
      <c r="J1045">
        <v>0</v>
      </c>
      <c r="K1045">
        <v>1325</v>
      </c>
      <c r="L1045">
        <v>0</v>
      </c>
      <c r="M1045">
        <v>49.552370517928203</v>
      </c>
      <c r="N1045">
        <v>1.931</v>
      </c>
      <c r="O1045">
        <f>(Table1[[#This Row],[P]]&lt;&gt;0)*(Table1[[#This Row],[C]]&lt;&gt;0)</f>
        <v>0</v>
      </c>
      <c r="P1045">
        <f>NETWORKDAYS(Table1[[#This Row],[ts_event]],Table1[[#This Row],[option_expiry_date]])</f>
        <v>30</v>
      </c>
      <c r="Q1045">
        <f>Table1[[#This Row],[Column2]]/252</f>
        <v>0.11904761904761904</v>
      </c>
      <c r="R1045" s="2" t="e">
        <f>IF(Table1[[#This Row],[CHECK2]]=0,NA(),
-(1/Table1[[#This Row],[T]])*LN((Table1[[#This Row],[S0]]-Table1[[#This Row],[C]]+Table1[[#This Row],[P]])/Table1[[#This Row],[K]])
)</f>
        <v>#N/A</v>
      </c>
    </row>
    <row r="1046" spans="1:18">
      <c r="A1046">
        <v>1</v>
      </c>
      <c r="B1046" t="s">
        <v>10</v>
      </c>
      <c r="C1046" s="1">
        <v>46160</v>
      </c>
      <c r="D1046" t="s">
        <v>15</v>
      </c>
      <c r="E1046">
        <v>49</v>
      </c>
      <c r="F1046" t="s">
        <v>12</v>
      </c>
      <c r="G1046" t="s">
        <v>13</v>
      </c>
      <c r="H1046" s="1">
        <v>46199</v>
      </c>
      <c r="I1046">
        <v>4.6399999999999997</v>
      </c>
      <c r="J1046">
        <v>0</v>
      </c>
      <c r="K1046">
        <v>85</v>
      </c>
      <c r="L1046">
        <v>0</v>
      </c>
      <c r="M1046">
        <v>49.552370517928203</v>
      </c>
      <c r="N1046">
        <v>1.931</v>
      </c>
      <c r="O1046">
        <f>(Table1[[#This Row],[P]]&lt;&gt;0)*(Table1[[#This Row],[C]]&lt;&gt;0)</f>
        <v>0</v>
      </c>
      <c r="P1046">
        <f>NETWORKDAYS(Table1[[#This Row],[ts_event]],Table1[[#This Row],[option_expiry_date]])</f>
        <v>30</v>
      </c>
      <c r="Q1046">
        <f>Table1[[#This Row],[Column2]]/252</f>
        <v>0.11904761904761904</v>
      </c>
      <c r="R1046" s="2" t="e">
        <f>IF(Table1[[#This Row],[CHECK2]]=0,NA(),
-(1/Table1[[#This Row],[T]])*LN((Table1[[#This Row],[S0]]-Table1[[#This Row],[C]]+Table1[[#This Row],[P]])/Table1[[#This Row],[K]])
)</f>
        <v>#N/A</v>
      </c>
    </row>
    <row r="1047" spans="1:18">
      <c r="A1047">
        <v>3</v>
      </c>
      <c r="B1047" t="s">
        <v>10</v>
      </c>
      <c r="C1047" s="1">
        <v>46160</v>
      </c>
      <c r="D1047" t="s">
        <v>15</v>
      </c>
      <c r="E1047">
        <v>50</v>
      </c>
      <c r="F1047" t="s">
        <v>12</v>
      </c>
      <c r="G1047" t="s">
        <v>13</v>
      </c>
      <c r="H1047" s="1">
        <v>46199</v>
      </c>
      <c r="I1047">
        <v>5.54</v>
      </c>
      <c r="J1047">
        <v>5.5201840039254098</v>
      </c>
      <c r="K1047">
        <v>400</v>
      </c>
      <c r="L1047">
        <v>4076</v>
      </c>
      <c r="M1047">
        <v>49.552370517928203</v>
      </c>
      <c r="N1047">
        <v>1.931</v>
      </c>
      <c r="O1047">
        <f>(Table1[[#This Row],[P]]&lt;&gt;0)*(Table1[[#This Row],[C]]&lt;&gt;0)</f>
        <v>1</v>
      </c>
      <c r="P1047">
        <f>NETWORKDAYS(Table1[[#This Row],[ts_event]],Table1[[#This Row],[option_expiry_date]])</f>
        <v>30</v>
      </c>
      <c r="Q1047">
        <f>Table1[[#This Row],[Column2]]/252</f>
        <v>0.11904761904761904</v>
      </c>
      <c r="R1047" s="2">
        <f>IF(Table1[[#This Row],[CHECK2]]=0,NA(),
-(1/Table1[[#This Row],[T]])*LN((Table1[[#This Row],[S0]]-Table1[[#This Row],[C]]+Table1[[#This Row],[P]])/Table1[[#This Row],[K]])
)</f>
        <v>7.2181911863479525E-2</v>
      </c>
    </row>
    <row r="1048" spans="1:18">
      <c r="A1048">
        <v>1</v>
      </c>
      <c r="B1048" t="s">
        <v>10</v>
      </c>
      <c r="C1048" s="1">
        <v>46160</v>
      </c>
      <c r="D1048" t="s">
        <v>15</v>
      </c>
      <c r="E1048">
        <v>51</v>
      </c>
      <c r="F1048" t="s">
        <v>12</v>
      </c>
      <c r="G1048" t="s">
        <v>13</v>
      </c>
      <c r="H1048" s="1">
        <v>46199</v>
      </c>
      <c r="I1048">
        <v>0</v>
      </c>
      <c r="J1048">
        <v>5.56</v>
      </c>
      <c r="K1048">
        <v>0</v>
      </c>
      <c r="L1048">
        <v>101</v>
      </c>
      <c r="M1048">
        <v>49.552370517928203</v>
      </c>
      <c r="N1048">
        <v>1.931</v>
      </c>
      <c r="O1048">
        <f>(Table1[[#This Row],[P]]&lt;&gt;0)*(Table1[[#This Row],[C]]&lt;&gt;0)</f>
        <v>0</v>
      </c>
      <c r="P1048">
        <f>NETWORKDAYS(Table1[[#This Row],[ts_event]],Table1[[#This Row],[option_expiry_date]])</f>
        <v>30</v>
      </c>
      <c r="Q1048">
        <f>Table1[[#This Row],[Column2]]/252</f>
        <v>0.11904761904761904</v>
      </c>
      <c r="R1048" s="2" t="e">
        <f>IF(Table1[[#This Row],[CHECK2]]=0,NA(),
-(1/Table1[[#This Row],[T]])*LN((Table1[[#This Row],[S0]]-Table1[[#This Row],[C]]+Table1[[#This Row],[P]])/Table1[[#This Row],[K]])
)</f>
        <v>#N/A</v>
      </c>
    </row>
    <row r="1049" spans="1:18">
      <c r="A1049">
        <v>1</v>
      </c>
      <c r="B1049" t="s">
        <v>10</v>
      </c>
      <c r="C1049" s="1">
        <v>46160</v>
      </c>
      <c r="D1049" t="s">
        <v>15</v>
      </c>
      <c r="E1049">
        <v>52</v>
      </c>
      <c r="F1049" t="s">
        <v>12</v>
      </c>
      <c r="G1049" t="s">
        <v>13</v>
      </c>
      <c r="H1049" s="1">
        <v>46199</v>
      </c>
      <c r="I1049">
        <v>0</v>
      </c>
      <c r="J1049">
        <v>5.6050000000000004</v>
      </c>
      <c r="K1049">
        <v>0</v>
      </c>
      <c r="L1049">
        <v>101</v>
      </c>
      <c r="M1049">
        <v>49.552370517928203</v>
      </c>
      <c r="N1049">
        <v>1.931</v>
      </c>
      <c r="O1049">
        <f>(Table1[[#This Row],[P]]&lt;&gt;0)*(Table1[[#This Row],[C]]&lt;&gt;0)</f>
        <v>0</v>
      </c>
      <c r="P1049">
        <f>NETWORKDAYS(Table1[[#This Row],[ts_event]],Table1[[#This Row],[option_expiry_date]])</f>
        <v>30</v>
      </c>
      <c r="Q1049">
        <f>Table1[[#This Row],[Column2]]/252</f>
        <v>0.11904761904761904</v>
      </c>
      <c r="R1049" s="2" t="e">
        <f>IF(Table1[[#This Row],[CHECK2]]=0,NA(),
-(1/Table1[[#This Row],[T]])*LN((Table1[[#This Row],[S0]]-Table1[[#This Row],[C]]+Table1[[#This Row],[P]])/Table1[[#This Row],[K]])
)</f>
        <v>#N/A</v>
      </c>
    </row>
    <row r="1050" spans="1:18">
      <c r="A1050">
        <v>1</v>
      </c>
      <c r="B1050" t="s">
        <v>10</v>
      </c>
      <c r="C1050" s="1">
        <v>46160</v>
      </c>
      <c r="D1050" t="s">
        <v>15</v>
      </c>
      <c r="E1050">
        <v>53</v>
      </c>
      <c r="F1050" t="s">
        <v>12</v>
      </c>
      <c r="G1050" t="s">
        <v>13</v>
      </c>
      <c r="H1050" s="1">
        <v>46199</v>
      </c>
      <c r="I1050">
        <v>0</v>
      </c>
      <c r="J1050">
        <v>4.97</v>
      </c>
      <c r="K1050">
        <v>0</v>
      </c>
      <c r="L1050">
        <v>101</v>
      </c>
      <c r="M1050">
        <v>49.552370517928203</v>
      </c>
      <c r="N1050">
        <v>1.931</v>
      </c>
      <c r="O1050">
        <f>(Table1[[#This Row],[P]]&lt;&gt;0)*(Table1[[#This Row],[C]]&lt;&gt;0)</f>
        <v>0</v>
      </c>
      <c r="P1050">
        <f>NETWORKDAYS(Table1[[#This Row],[ts_event]],Table1[[#This Row],[option_expiry_date]])</f>
        <v>30</v>
      </c>
      <c r="Q1050">
        <f>Table1[[#This Row],[Column2]]/252</f>
        <v>0.11904761904761904</v>
      </c>
      <c r="R1050" s="2" t="e">
        <f>IF(Table1[[#This Row],[CHECK2]]=0,NA(),
-(1/Table1[[#This Row],[T]])*LN((Table1[[#This Row],[S0]]-Table1[[#This Row],[C]]+Table1[[#This Row],[P]])/Table1[[#This Row],[K]])
)</f>
        <v>#N/A</v>
      </c>
    </row>
    <row r="1051" spans="1:18">
      <c r="A1051">
        <v>3</v>
      </c>
      <c r="B1051" t="s">
        <v>10</v>
      </c>
      <c r="C1051" s="1">
        <v>46160</v>
      </c>
      <c r="D1051" t="s">
        <v>15</v>
      </c>
      <c r="E1051">
        <v>55</v>
      </c>
      <c r="F1051" t="s">
        <v>12</v>
      </c>
      <c r="G1051" t="s">
        <v>13</v>
      </c>
      <c r="H1051" s="1">
        <v>46199</v>
      </c>
      <c r="I1051">
        <v>8.6</v>
      </c>
      <c r="J1051">
        <v>4.3971554993678801</v>
      </c>
      <c r="K1051">
        <v>2000</v>
      </c>
      <c r="L1051">
        <v>3955</v>
      </c>
      <c r="M1051">
        <v>49.552370517928203</v>
      </c>
      <c r="N1051">
        <v>1.931</v>
      </c>
      <c r="O1051">
        <f>(Table1[[#This Row],[P]]&lt;&gt;0)*(Table1[[#This Row],[C]]&lt;&gt;0)</f>
        <v>1</v>
      </c>
      <c r="P1051">
        <f>NETWORKDAYS(Table1[[#This Row],[ts_event]],Table1[[#This Row],[option_expiry_date]])</f>
        <v>30</v>
      </c>
      <c r="Q1051">
        <f>Table1[[#This Row],[Column2]]/252</f>
        <v>0.11904761904761904</v>
      </c>
      <c r="R1051" s="2">
        <f>IF(Table1[[#This Row],[CHECK2]]=0,NA(),
-(1/Table1[[#This Row],[T]])*LN((Table1[[#This Row],[S0]]-Table1[[#This Row],[C]]+Table1[[#This Row],[P]])/Table1[[#This Row],[K]])
)</f>
        <v>0.19229699437251632</v>
      </c>
    </row>
    <row r="1052" spans="1:18">
      <c r="A1052">
        <v>1</v>
      </c>
      <c r="B1052" t="s">
        <v>10</v>
      </c>
      <c r="C1052" s="1">
        <v>46160</v>
      </c>
      <c r="D1052" t="s">
        <v>15</v>
      </c>
      <c r="E1052">
        <v>60</v>
      </c>
      <c r="F1052" t="s">
        <v>12</v>
      </c>
      <c r="G1052" t="s">
        <v>13</v>
      </c>
      <c r="H1052" s="1">
        <v>46199</v>
      </c>
      <c r="I1052">
        <v>0</v>
      </c>
      <c r="J1052">
        <v>3.4</v>
      </c>
      <c r="K1052">
        <v>0</v>
      </c>
      <c r="L1052">
        <v>1500</v>
      </c>
      <c r="M1052">
        <v>49.552370517928203</v>
      </c>
      <c r="N1052">
        <v>1.931</v>
      </c>
      <c r="O1052">
        <f>(Table1[[#This Row],[P]]&lt;&gt;0)*(Table1[[#This Row],[C]]&lt;&gt;0)</f>
        <v>0</v>
      </c>
      <c r="P1052">
        <f>NETWORKDAYS(Table1[[#This Row],[ts_event]],Table1[[#This Row],[option_expiry_date]])</f>
        <v>30</v>
      </c>
      <c r="Q1052">
        <f>Table1[[#This Row],[Column2]]/252</f>
        <v>0.11904761904761904</v>
      </c>
      <c r="R1052" s="2" t="e">
        <f>IF(Table1[[#This Row],[CHECK2]]=0,NA(),
-(1/Table1[[#This Row],[T]])*LN((Table1[[#This Row],[S0]]-Table1[[#This Row],[C]]+Table1[[#This Row],[P]])/Table1[[#This Row],[K]])
)</f>
        <v>#N/A</v>
      </c>
    </row>
    <row r="1053" spans="1:18">
      <c r="A1053">
        <v>1</v>
      </c>
      <c r="B1053" t="s">
        <v>10</v>
      </c>
      <c r="C1053" s="1">
        <v>46160</v>
      </c>
      <c r="D1053" t="s">
        <v>15</v>
      </c>
      <c r="E1053">
        <v>65</v>
      </c>
      <c r="F1053" t="s">
        <v>12</v>
      </c>
      <c r="G1053" t="s">
        <v>13</v>
      </c>
      <c r="H1053" s="1">
        <v>46199</v>
      </c>
      <c r="I1053">
        <v>0</v>
      </c>
      <c r="J1053">
        <v>2.5750000000000002</v>
      </c>
      <c r="K1053">
        <v>0</v>
      </c>
      <c r="L1053">
        <v>1120</v>
      </c>
      <c r="M1053">
        <v>49.552370517928203</v>
      </c>
      <c r="N1053">
        <v>1.931</v>
      </c>
      <c r="O1053">
        <f>(Table1[[#This Row],[P]]&lt;&gt;0)*(Table1[[#This Row],[C]]&lt;&gt;0)</f>
        <v>0</v>
      </c>
      <c r="P1053">
        <f>NETWORKDAYS(Table1[[#This Row],[ts_event]],Table1[[#This Row],[option_expiry_date]])</f>
        <v>30</v>
      </c>
      <c r="Q1053">
        <f>Table1[[#This Row],[Column2]]/252</f>
        <v>0.11904761904761904</v>
      </c>
      <c r="R1053" s="2" t="e">
        <f>IF(Table1[[#This Row],[CHECK2]]=0,NA(),
-(1/Table1[[#This Row],[T]])*LN((Table1[[#This Row],[S0]]-Table1[[#This Row],[C]]+Table1[[#This Row],[P]])/Table1[[#This Row],[K]])
)</f>
        <v>#N/A</v>
      </c>
    </row>
    <row r="1054" spans="1:18">
      <c r="A1054">
        <v>1</v>
      </c>
      <c r="B1054" t="s">
        <v>10</v>
      </c>
      <c r="C1054" s="1">
        <v>46160</v>
      </c>
      <c r="D1054" t="s">
        <v>15</v>
      </c>
      <c r="E1054">
        <v>70</v>
      </c>
      <c r="F1054" t="s">
        <v>12</v>
      </c>
      <c r="G1054" t="s">
        <v>13</v>
      </c>
      <c r="H1054" s="1">
        <v>46199</v>
      </c>
      <c r="I1054">
        <v>0</v>
      </c>
      <c r="J1054">
        <v>1.83</v>
      </c>
      <c r="K1054">
        <v>0</v>
      </c>
      <c r="L1054">
        <v>1600</v>
      </c>
      <c r="M1054">
        <v>49.552370517928203</v>
      </c>
      <c r="N1054">
        <v>1.931</v>
      </c>
      <c r="O1054">
        <f>(Table1[[#This Row],[P]]&lt;&gt;0)*(Table1[[#This Row],[C]]&lt;&gt;0)</f>
        <v>0</v>
      </c>
      <c r="P1054">
        <f>NETWORKDAYS(Table1[[#This Row],[ts_event]],Table1[[#This Row],[option_expiry_date]])</f>
        <v>30</v>
      </c>
      <c r="Q1054">
        <f>Table1[[#This Row],[Column2]]/252</f>
        <v>0.11904761904761904</v>
      </c>
      <c r="R1054" s="2" t="e">
        <f>IF(Table1[[#This Row],[CHECK2]]=0,NA(),
-(1/Table1[[#This Row],[T]])*LN((Table1[[#This Row],[S0]]-Table1[[#This Row],[C]]+Table1[[#This Row],[P]])/Table1[[#This Row],[K]])
)</f>
        <v>#N/A</v>
      </c>
    </row>
    <row r="1055" spans="1:18">
      <c r="A1055">
        <v>1</v>
      </c>
      <c r="B1055" t="s">
        <v>10</v>
      </c>
      <c r="C1055" s="1">
        <v>46160</v>
      </c>
      <c r="D1055" t="s">
        <v>15</v>
      </c>
      <c r="E1055">
        <v>75</v>
      </c>
      <c r="F1055" t="s">
        <v>12</v>
      </c>
      <c r="G1055" t="s">
        <v>13</v>
      </c>
      <c r="H1055" s="1">
        <v>46199</v>
      </c>
      <c r="I1055">
        <v>0</v>
      </c>
      <c r="J1055">
        <v>1.69</v>
      </c>
      <c r="K1055">
        <v>0</v>
      </c>
      <c r="L1055">
        <v>350</v>
      </c>
      <c r="M1055">
        <v>49.552370517928203</v>
      </c>
      <c r="N1055">
        <v>1.931</v>
      </c>
      <c r="O1055">
        <f>(Table1[[#This Row],[P]]&lt;&gt;0)*(Table1[[#This Row],[C]]&lt;&gt;0)</f>
        <v>0</v>
      </c>
      <c r="P1055">
        <f>NETWORKDAYS(Table1[[#This Row],[ts_event]],Table1[[#This Row],[option_expiry_date]])</f>
        <v>30</v>
      </c>
      <c r="Q1055">
        <f>Table1[[#This Row],[Column2]]/252</f>
        <v>0.11904761904761904</v>
      </c>
      <c r="R1055" s="2" t="e">
        <f>IF(Table1[[#This Row],[CHECK2]]=0,NA(),
-(1/Table1[[#This Row],[T]])*LN((Table1[[#This Row],[S0]]-Table1[[#This Row],[C]]+Table1[[#This Row],[P]])/Table1[[#This Row],[K]])
)</f>
        <v>#N/A</v>
      </c>
    </row>
    <row r="1056" spans="1:18">
      <c r="A1056">
        <v>1</v>
      </c>
      <c r="B1056" t="s">
        <v>10</v>
      </c>
      <c r="C1056" s="1">
        <v>46160</v>
      </c>
      <c r="D1056" t="s">
        <v>15</v>
      </c>
      <c r="E1056">
        <v>80</v>
      </c>
      <c r="F1056" t="s">
        <v>12</v>
      </c>
      <c r="G1056" t="s">
        <v>13</v>
      </c>
      <c r="H1056" s="1">
        <v>46199</v>
      </c>
      <c r="I1056">
        <v>0</v>
      </c>
      <c r="J1056">
        <v>1.625</v>
      </c>
      <c r="K1056">
        <v>0</v>
      </c>
      <c r="L1056">
        <v>30</v>
      </c>
      <c r="M1056">
        <v>49.552370517928203</v>
      </c>
      <c r="N1056">
        <v>1.931</v>
      </c>
      <c r="O1056">
        <f>(Table1[[#This Row],[P]]&lt;&gt;0)*(Table1[[#This Row],[C]]&lt;&gt;0)</f>
        <v>0</v>
      </c>
      <c r="P1056">
        <f>NETWORKDAYS(Table1[[#This Row],[ts_event]],Table1[[#This Row],[option_expiry_date]])</f>
        <v>30</v>
      </c>
      <c r="Q1056">
        <f>Table1[[#This Row],[Column2]]/252</f>
        <v>0.11904761904761904</v>
      </c>
      <c r="R1056" s="2" t="e">
        <f>IF(Table1[[#This Row],[CHECK2]]=0,NA(),
-(1/Table1[[#This Row],[T]])*LN((Table1[[#This Row],[S0]]-Table1[[#This Row],[C]]+Table1[[#This Row],[P]])/Table1[[#This Row],[K]])
)</f>
        <v>#N/A</v>
      </c>
    </row>
    <row r="1057" spans="1:18">
      <c r="A1057">
        <v>1</v>
      </c>
      <c r="B1057" t="s">
        <v>10</v>
      </c>
      <c r="C1057" s="1">
        <v>46160</v>
      </c>
      <c r="D1057" t="s">
        <v>15</v>
      </c>
      <c r="E1057">
        <v>85</v>
      </c>
      <c r="F1057" t="s">
        <v>12</v>
      </c>
      <c r="G1057" t="s">
        <v>13</v>
      </c>
      <c r="H1057" s="1">
        <v>46199</v>
      </c>
      <c r="I1057">
        <v>0</v>
      </c>
      <c r="J1057">
        <v>1.2250000000000001</v>
      </c>
      <c r="K1057">
        <v>0</v>
      </c>
      <c r="L1057">
        <v>1000</v>
      </c>
      <c r="M1057">
        <v>49.552370517928203</v>
      </c>
      <c r="N1057">
        <v>1.931</v>
      </c>
      <c r="O1057">
        <f>(Table1[[#This Row],[P]]&lt;&gt;0)*(Table1[[#This Row],[C]]&lt;&gt;0)</f>
        <v>0</v>
      </c>
      <c r="P1057">
        <f>NETWORKDAYS(Table1[[#This Row],[ts_event]],Table1[[#This Row],[option_expiry_date]])</f>
        <v>30</v>
      </c>
      <c r="Q1057">
        <f>Table1[[#This Row],[Column2]]/252</f>
        <v>0.11904761904761904</v>
      </c>
      <c r="R1057" s="2" t="e">
        <f>IF(Table1[[#This Row],[CHECK2]]=0,NA(),
-(1/Table1[[#This Row],[T]])*LN((Table1[[#This Row],[S0]]-Table1[[#This Row],[C]]+Table1[[#This Row],[P]])/Table1[[#This Row],[K]])
)</f>
        <v>#N/A</v>
      </c>
    </row>
    <row r="1058" spans="1:18">
      <c r="A1058">
        <v>1</v>
      </c>
      <c r="B1058" t="s">
        <v>10</v>
      </c>
      <c r="C1058" s="1">
        <v>46160</v>
      </c>
      <c r="D1058" t="s">
        <v>16</v>
      </c>
      <c r="E1058">
        <v>34.5</v>
      </c>
      <c r="F1058" t="s">
        <v>12</v>
      </c>
      <c r="G1058" t="s">
        <v>13</v>
      </c>
      <c r="H1058" s="1">
        <v>46230</v>
      </c>
      <c r="I1058">
        <v>0.71499999999999997</v>
      </c>
      <c r="J1058">
        <v>0</v>
      </c>
      <c r="K1058">
        <v>250</v>
      </c>
      <c r="L1058">
        <v>0</v>
      </c>
      <c r="M1058">
        <v>49.511338582677098</v>
      </c>
      <c r="N1058">
        <v>1.931</v>
      </c>
      <c r="O1058">
        <f>(Table1[[#This Row],[P]]&lt;&gt;0)*(Table1[[#This Row],[C]]&lt;&gt;0)</f>
        <v>0</v>
      </c>
      <c r="P1058">
        <f>NETWORKDAYS(Table1[[#This Row],[ts_event]],Table1[[#This Row],[option_expiry_date]])</f>
        <v>51</v>
      </c>
      <c r="Q1058">
        <f>Table1[[#This Row],[Column2]]/252</f>
        <v>0.20238095238095238</v>
      </c>
      <c r="R1058" s="2" t="e">
        <f>IF(Table1[[#This Row],[CHECK2]]=0,NA(),
-(1/Table1[[#This Row],[T]])*LN((Table1[[#This Row],[S0]]-Table1[[#This Row],[C]]+Table1[[#This Row],[P]])/Table1[[#This Row],[K]])
)</f>
        <v>#N/A</v>
      </c>
    </row>
    <row r="1059" spans="1:18">
      <c r="A1059">
        <v>1</v>
      </c>
      <c r="B1059" t="s">
        <v>10</v>
      </c>
      <c r="C1059" s="1">
        <v>46160</v>
      </c>
      <c r="D1059" t="s">
        <v>16</v>
      </c>
      <c r="E1059">
        <v>35</v>
      </c>
      <c r="F1059" t="s">
        <v>12</v>
      </c>
      <c r="G1059" t="s">
        <v>13</v>
      </c>
      <c r="H1059" s="1">
        <v>46230</v>
      </c>
      <c r="I1059">
        <v>0.68</v>
      </c>
      <c r="J1059">
        <v>0</v>
      </c>
      <c r="K1059">
        <v>750</v>
      </c>
      <c r="L1059">
        <v>0</v>
      </c>
      <c r="M1059">
        <v>49.511338582677098</v>
      </c>
      <c r="N1059">
        <v>1.931</v>
      </c>
      <c r="O1059">
        <f>(Table1[[#This Row],[P]]&lt;&gt;0)*(Table1[[#This Row],[C]]&lt;&gt;0)</f>
        <v>0</v>
      </c>
      <c r="P1059">
        <f>NETWORKDAYS(Table1[[#This Row],[ts_event]],Table1[[#This Row],[option_expiry_date]])</f>
        <v>51</v>
      </c>
      <c r="Q1059">
        <f>Table1[[#This Row],[Column2]]/252</f>
        <v>0.20238095238095238</v>
      </c>
      <c r="R1059" s="2" t="e">
        <f>IF(Table1[[#This Row],[CHECK2]]=0,NA(),
-(1/Table1[[#This Row],[T]])*LN((Table1[[#This Row],[S0]]-Table1[[#This Row],[C]]+Table1[[#This Row],[P]])/Table1[[#This Row],[K]])
)</f>
        <v>#N/A</v>
      </c>
    </row>
    <row r="1060" spans="1:18">
      <c r="A1060">
        <v>1</v>
      </c>
      <c r="B1060" t="s">
        <v>10</v>
      </c>
      <c r="C1060" s="1">
        <v>46160</v>
      </c>
      <c r="D1060" t="s">
        <v>16</v>
      </c>
      <c r="E1060">
        <v>40</v>
      </c>
      <c r="F1060" t="s">
        <v>12</v>
      </c>
      <c r="G1060" t="s">
        <v>13</v>
      </c>
      <c r="H1060" s="1">
        <v>46230</v>
      </c>
      <c r="I1060">
        <v>1.75</v>
      </c>
      <c r="J1060">
        <v>0</v>
      </c>
      <c r="K1060">
        <v>340</v>
      </c>
      <c r="L1060">
        <v>0</v>
      </c>
      <c r="M1060">
        <v>49.511338582677098</v>
      </c>
      <c r="N1060">
        <v>1.931</v>
      </c>
      <c r="O1060">
        <f>(Table1[[#This Row],[P]]&lt;&gt;0)*(Table1[[#This Row],[C]]&lt;&gt;0)</f>
        <v>0</v>
      </c>
      <c r="P1060">
        <f>NETWORKDAYS(Table1[[#This Row],[ts_event]],Table1[[#This Row],[option_expiry_date]])</f>
        <v>51</v>
      </c>
      <c r="Q1060">
        <f>Table1[[#This Row],[Column2]]/252</f>
        <v>0.20238095238095238</v>
      </c>
      <c r="R1060" s="2" t="e">
        <f>IF(Table1[[#This Row],[CHECK2]]=0,NA(),
-(1/Table1[[#This Row],[T]])*LN((Table1[[#This Row],[S0]]-Table1[[#This Row],[C]]+Table1[[#This Row],[P]])/Table1[[#This Row],[K]])
)</f>
        <v>#N/A</v>
      </c>
    </row>
    <row r="1061" spans="1:18">
      <c r="A1061">
        <v>2</v>
      </c>
      <c r="B1061" t="s">
        <v>10</v>
      </c>
      <c r="C1061" s="1">
        <v>46160</v>
      </c>
      <c r="D1061" t="s">
        <v>16</v>
      </c>
      <c r="E1061">
        <v>50</v>
      </c>
      <c r="F1061" t="s">
        <v>12</v>
      </c>
      <c r="G1061" t="s">
        <v>13</v>
      </c>
      <c r="H1061" s="1">
        <v>46230</v>
      </c>
      <c r="I1061">
        <v>6.8</v>
      </c>
      <c r="J1061">
        <v>8.1999999999999993</v>
      </c>
      <c r="K1061">
        <v>575</v>
      </c>
      <c r="L1061">
        <v>500</v>
      </c>
      <c r="M1061">
        <v>49.511338582677098</v>
      </c>
      <c r="N1061">
        <v>1.931</v>
      </c>
      <c r="O1061">
        <f>(Table1[[#This Row],[P]]&lt;&gt;0)*(Table1[[#This Row],[C]]&lt;&gt;0)</f>
        <v>1</v>
      </c>
      <c r="P1061">
        <f>NETWORKDAYS(Table1[[#This Row],[ts_event]],Table1[[#This Row],[option_expiry_date]])</f>
        <v>51</v>
      </c>
      <c r="Q1061">
        <f>Table1[[#This Row],[Column2]]/252</f>
        <v>0.20238095238095238</v>
      </c>
      <c r="R1061" s="2">
        <f>IF(Table1[[#This Row],[CHECK2]]=0,NA(),
-(1/Table1[[#This Row],[T]])*LN((Table1[[#This Row],[S0]]-Table1[[#This Row],[C]]+Table1[[#This Row],[P]])/Table1[[#This Row],[K]])
)</f>
        <v>0.19026062617872475</v>
      </c>
    </row>
    <row r="1062" spans="1:18">
      <c r="A1062">
        <v>1</v>
      </c>
      <c r="B1062" t="s">
        <v>10</v>
      </c>
      <c r="C1062" s="1">
        <v>46160</v>
      </c>
      <c r="D1062" t="s">
        <v>16</v>
      </c>
      <c r="E1062">
        <v>54</v>
      </c>
      <c r="F1062" t="s">
        <v>12</v>
      </c>
      <c r="G1062" t="s">
        <v>13</v>
      </c>
      <c r="H1062" s="1">
        <v>46230</v>
      </c>
      <c r="I1062">
        <v>0</v>
      </c>
      <c r="J1062">
        <v>6</v>
      </c>
      <c r="K1062">
        <v>0</v>
      </c>
      <c r="L1062">
        <v>5</v>
      </c>
      <c r="M1062">
        <v>49.511338582677098</v>
      </c>
      <c r="N1062">
        <v>1.931</v>
      </c>
      <c r="O1062">
        <f>(Table1[[#This Row],[P]]&lt;&gt;0)*(Table1[[#This Row],[C]]&lt;&gt;0)</f>
        <v>0</v>
      </c>
      <c r="P1062">
        <f>NETWORKDAYS(Table1[[#This Row],[ts_event]],Table1[[#This Row],[option_expiry_date]])</f>
        <v>51</v>
      </c>
      <c r="Q1062">
        <f>Table1[[#This Row],[Column2]]/252</f>
        <v>0.20238095238095238</v>
      </c>
      <c r="R1062" s="2" t="e">
        <f>IF(Table1[[#This Row],[CHECK2]]=0,NA(),
-(1/Table1[[#This Row],[T]])*LN((Table1[[#This Row],[S0]]-Table1[[#This Row],[C]]+Table1[[#This Row],[P]])/Table1[[#This Row],[K]])
)</f>
        <v>#N/A</v>
      </c>
    </row>
    <row r="1063" spans="1:18">
      <c r="A1063">
        <v>1</v>
      </c>
      <c r="B1063" t="s">
        <v>10</v>
      </c>
      <c r="C1063" s="1">
        <v>46160</v>
      </c>
      <c r="D1063" t="s">
        <v>16</v>
      </c>
      <c r="E1063">
        <v>55</v>
      </c>
      <c r="F1063" t="s">
        <v>12</v>
      </c>
      <c r="G1063" t="s">
        <v>13</v>
      </c>
      <c r="H1063" s="1">
        <v>46230</v>
      </c>
      <c r="I1063">
        <v>0</v>
      </c>
      <c r="J1063">
        <v>6.7750000000000004</v>
      </c>
      <c r="K1063">
        <v>0</v>
      </c>
      <c r="L1063">
        <v>150</v>
      </c>
      <c r="M1063">
        <v>49.511338582677098</v>
      </c>
      <c r="N1063">
        <v>1.931</v>
      </c>
      <c r="O1063">
        <f>(Table1[[#This Row],[P]]&lt;&gt;0)*(Table1[[#This Row],[C]]&lt;&gt;0)</f>
        <v>0</v>
      </c>
      <c r="P1063">
        <f>NETWORKDAYS(Table1[[#This Row],[ts_event]],Table1[[#This Row],[option_expiry_date]])</f>
        <v>51</v>
      </c>
      <c r="Q1063">
        <f>Table1[[#This Row],[Column2]]/252</f>
        <v>0.20238095238095238</v>
      </c>
      <c r="R1063" s="2" t="e">
        <f>IF(Table1[[#This Row],[CHECK2]]=0,NA(),
-(1/Table1[[#This Row],[T]])*LN((Table1[[#This Row],[S0]]-Table1[[#This Row],[C]]+Table1[[#This Row],[P]])/Table1[[#This Row],[K]])
)</f>
        <v>#N/A</v>
      </c>
    </row>
    <row r="1064" spans="1:18">
      <c r="A1064">
        <v>1</v>
      </c>
      <c r="B1064" t="s">
        <v>10</v>
      </c>
      <c r="C1064" s="1">
        <v>46160</v>
      </c>
      <c r="D1064" t="s">
        <v>16</v>
      </c>
      <c r="E1064">
        <v>80</v>
      </c>
      <c r="F1064" t="s">
        <v>12</v>
      </c>
      <c r="G1064" t="s">
        <v>13</v>
      </c>
      <c r="H1064" s="1">
        <v>46230</v>
      </c>
      <c r="I1064">
        <v>0</v>
      </c>
      <c r="J1064">
        <v>2.95</v>
      </c>
      <c r="K1064">
        <v>0</v>
      </c>
      <c r="L1064">
        <v>30</v>
      </c>
      <c r="M1064">
        <v>49.511338582677098</v>
      </c>
      <c r="N1064">
        <v>1.931</v>
      </c>
      <c r="O1064">
        <f>(Table1[[#This Row],[P]]&lt;&gt;0)*(Table1[[#This Row],[C]]&lt;&gt;0)</f>
        <v>0</v>
      </c>
      <c r="P1064">
        <f>NETWORKDAYS(Table1[[#This Row],[ts_event]],Table1[[#This Row],[option_expiry_date]])</f>
        <v>51</v>
      </c>
      <c r="Q1064">
        <f>Table1[[#This Row],[Column2]]/252</f>
        <v>0.20238095238095238</v>
      </c>
      <c r="R1064" s="2" t="e">
        <f>IF(Table1[[#This Row],[CHECK2]]=0,NA(),
-(1/Table1[[#This Row],[T]])*LN((Table1[[#This Row],[S0]]-Table1[[#This Row],[C]]+Table1[[#This Row],[P]])/Table1[[#This Row],[K]])
)</f>
        <v>#N/A</v>
      </c>
    </row>
    <row r="1065" spans="1:18">
      <c r="A1065">
        <v>1</v>
      </c>
      <c r="B1065" t="s">
        <v>10</v>
      </c>
      <c r="C1065" s="1">
        <v>46160</v>
      </c>
      <c r="D1065" t="s">
        <v>17</v>
      </c>
      <c r="E1065">
        <v>33</v>
      </c>
      <c r="F1065" t="s">
        <v>12</v>
      </c>
      <c r="G1065" t="s">
        <v>13</v>
      </c>
      <c r="H1065" s="1">
        <v>46260</v>
      </c>
      <c r="I1065">
        <v>0.79</v>
      </c>
      <c r="J1065">
        <v>0</v>
      </c>
      <c r="K1065">
        <v>30</v>
      </c>
      <c r="L1065">
        <v>0</v>
      </c>
      <c r="M1065">
        <v>49.433448835950102</v>
      </c>
      <c r="N1065">
        <v>1.931</v>
      </c>
      <c r="O1065">
        <f>(Table1[[#This Row],[P]]&lt;&gt;0)*(Table1[[#This Row],[C]]&lt;&gt;0)</f>
        <v>0</v>
      </c>
      <c r="P1065">
        <f>NETWORKDAYS(Table1[[#This Row],[ts_event]],Table1[[#This Row],[option_expiry_date]])</f>
        <v>73</v>
      </c>
      <c r="Q1065">
        <f>Table1[[#This Row],[Column2]]/252</f>
        <v>0.28968253968253971</v>
      </c>
      <c r="R1065" s="2" t="e">
        <f>IF(Table1[[#This Row],[CHECK2]]=0,NA(),
-(1/Table1[[#This Row],[T]])*LN((Table1[[#This Row],[S0]]-Table1[[#This Row],[C]]+Table1[[#This Row],[P]])/Table1[[#This Row],[K]])
)</f>
        <v>#N/A</v>
      </c>
    </row>
    <row r="1066" spans="1:18">
      <c r="A1066">
        <v>1</v>
      </c>
      <c r="B1066" t="s">
        <v>10</v>
      </c>
      <c r="C1066" s="1">
        <v>46160</v>
      </c>
      <c r="D1066" t="s">
        <v>17</v>
      </c>
      <c r="E1066">
        <v>35</v>
      </c>
      <c r="F1066" t="s">
        <v>12</v>
      </c>
      <c r="G1066" t="s">
        <v>13</v>
      </c>
      <c r="H1066" s="1">
        <v>46260</v>
      </c>
      <c r="I1066">
        <v>1.02</v>
      </c>
      <c r="J1066">
        <v>0</v>
      </c>
      <c r="K1066">
        <v>900</v>
      </c>
      <c r="L1066">
        <v>0</v>
      </c>
      <c r="M1066">
        <v>49.433448835950102</v>
      </c>
      <c r="N1066">
        <v>1.931</v>
      </c>
      <c r="O1066">
        <f>(Table1[[#This Row],[P]]&lt;&gt;0)*(Table1[[#This Row],[C]]&lt;&gt;0)</f>
        <v>0</v>
      </c>
      <c r="P1066">
        <f>NETWORKDAYS(Table1[[#This Row],[ts_event]],Table1[[#This Row],[option_expiry_date]])</f>
        <v>73</v>
      </c>
      <c r="Q1066">
        <f>Table1[[#This Row],[Column2]]/252</f>
        <v>0.28968253968253971</v>
      </c>
      <c r="R1066" s="2" t="e">
        <f>IF(Table1[[#This Row],[CHECK2]]=0,NA(),
-(1/Table1[[#This Row],[T]])*LN((Table1[[#This Row],[S0]]-Table1[[#This Row],[C]]+Table1[[#This Row],[P]])/Table1[[#This Row],[K]])
)</f>
        <v>#N/A</v>
      </c>
    </row>
    <row r="1067" spans="1:18">
      <c r="A1067">
        <v>1</v>
      </c>
      <c r="B1067" t="s">
        <v>10</v>
      </c>
      <c r="C1067" s="1">
        <v>46160</v>
      </c>
      <c r="D1067" t="s">
        <v>17</v>
      </c>
      <c r="E1067">
        <v>40</v>
      </c>
      <c r="F1067" t="s">
        <v>12</v>
      </c>
      <c r="G1067" t="s">
        <v>13</v>
      </c>
      <c r="H1067" s="1">
        <v>46260</v>
      </c>
      <c r="I1067">
        <v>2.9</v>
      </c>
      <c r="J1067">
        <v>0</v>
      </c>
      <c r="K1067">
        <v>400</v>
      </c>
      <c r="L1067">
        <v>0</v>
      </c>
      <c r="M1067">
        <v>49.433448835950102</v>
      </c>
      <c r="N1067">
        <v>1.931</v>
      </c>
      <c r="O1067">
        <f>(Table1[[#This Row],[P]]&lt;&gt;0)*(Table1[[#This Row],[C]]&lt;&gt;0)</f>
        <v>0</v>
      </c>
      <c r="P1067">
        <f>NETWORKDAYS(Table1[[#This Row],[ts_event]],Table1[[#This Row],[option_expiry_date]])</f>
        <v>73</v>
      </c>
      <c r="Q1067">
        <f>Table1[[#This Row],[Column2]]/252</f>
        <v>0.28968253968253971</v>
      </c>
      <c r="R1067" s="2" t="e">
        <f>IF(Table1[[#This Row],[CHECK2]]=0,NA(),
-(1/Table1[[#This Row],[T]])*LN((Table1[[#This Row],[S0]]-Table1[[#This Row],[C]]+Table1[[#This Row],[P]])/Table1[[#This Row],[K]])
)</f>
        <v>#N/A</v>
      </c>
    </row>
    <row r="1068" spans="1:18">
      <c r="A1068">
        <v>1</v>
      </c>
      <c r="B1068" t="s">
        <v>10</v>
      </c>
      <c r="C1068" s="1">
        <v>46160</v>
      </c>
      <c r="D1068" t="s">
        <v>17</v>
      </c>
      <c r="E1068">
        <v>43</v>
      </c>
      <c r="F1068" t="s">
        <v>12</v>
      </c>
      <c r="G1068" t="s">
        <v>13</v>
      </c>
      <c r="H1068" s="1">
        <v>46260</v>
      </c>
      <c r="I1068">
        <v>3.9750000000000001</v>
      </c>
      <c r="J1068">
        <v>0</v>
      </c>
      <c r="K1068">
        <v>1300</v>
      </c>
      <c r="L1068">
        <v>0</v>
      </c>
      <c r="M1068">
        <v>49.433448835950102</v>
      </c>
      <c r="N1068">
        <v>1.931</v>
      </c>
      <c r="O1068">
        <f>(Table1[[#This Row],[P]]&lt;&gt;0)*(Table1[[#This Row],[C]]&lt;&gt;0)</f>
        <v>0</v>
      </c>
      <c r="P1068">
        <f>NETWORKDAYS(Table1[[#This Row],[ts_event]],Table1[[#This Row],[option_expiry_date]])</f>
        <v>73</v>
      </c>
      <c r="Q1068">
        <f>Table1[[#This Row],[Column2]]/252</f>
        <v>0.28968253968253971</v>
      </c>
      <c r="R1068" s="2" t="e">
        <f>IF(Table1[[#This Row],[CHECK2]]=0,NA(),
-(1/Table1[[#This Row],[T]])*LN((Table1[[#This Row],[S0]]-Table1[[#This Row],[C]]+Table1[[#This Row],[P]])/Table1[[#This Row],[K]])
)</f>
        <v>#N/A</v>
      </c>
    </row>
    <row r="1069" spans="1:18">
      <c r="A1069">
        <v>2</v>
      </c>
      <c r="B1069" t="s">
        <v>10</v>
      </c>
      <c r="C1069" s="1">
        <v>46160</v>
      </c>
      <c r="D1069" t="s">
        <v>17</v>
      </c>
      <c r="E1069">
        <v>50</v>
      </c>
      <c r="F1069" t="s">
        <v>12</v>
      </c>
      <c r="G1069" t="s">
        <v>13</v>
      </c>
      <c r="H1069" s="1">
        <v>46260</v>
      </c>
      <c r="I1069">
        <v>8.0150000000000006</v>
      </c>
      <c r="J1069">
        <v>9.18</v>
      </c>
      <c r="K1069">
        <v>600</v>
      </c>
      <c r="L1069">
        <v>425</v>
      </c>
      <c r="M1069">
        <v>49.433448835950102</v>
      </c>
      <c r="N1069">
        <v>1.931</v>
      </c>
      <c r="O1069">
        <f>(Table1[[#This Row],[P]]&lt;&gt;0)*(Table1[[#This Row],[C]]&lt;&gt;0)</f>
        <v>1</v>
      </c>
      <c r="P1069">
        <f>NETWORKDAYS(Table1[[#This Row],[ts_event]],Table1[[#This Row],[option_expiry_date]])</f>
        <v>73</v>
      </c>
      <c r="Q1069">
        <f>Table1[[#This Row],[Column2]]/252</f>
        <v>0.28968253968253971</v>
      </c>
      <c r="R1069" s="2">
        <f>IF(Table1[[#This Row],[CHECK2]]=0,NA(),
-(1/Table1[[#This Row],[T]])*LN((Table1[[#This Row],[S0]]-Table1[[#This Row],[C]]+Table1[[#This Row],[P]])/Table1[[#This Row],[K]])
)</f>
        <v>0.12166729644168371</v>
      </c>
    </row>
    <row r="1070" spans="1:18">
      <c r="A1070">
        <v>1</v>
      </c>
      <c r="B1070" t="s">
        <v>10</v>
      </c>
      <c r="C1070" s="1">
        <v>46160</v>
      </c>
      <c r="D1070" t="s">
        <v>17</v>
      </c>
      <c r="E1070">
        <v>55</v>
      </c>
      <c r="F1070" t="s">
        <v>12</v>
      </c>
      <c r="G1070" t="s">
        <v>13</v>
      </c>
      <c r="H1070" s="1">
        <v>46260</v>
      </c>
      <c r="I1070">
        <v>0</v>
      </c>
      <c r="J1070">
        <v>7.86</v>
      </c>
      <c r="K1070">
        <v>0</v>
      </c>
      <c r="L1070">
        <v>150</v>
      </c>
      <c r="M1070">
        <v>49.433448835950102</v>
      </c>
      <c r="N1070">
        <v>1.931</v>
      </c>
      <c r="O1070">
        <f>(Table1[[#This Row],[P]]&lt;&gt;0)*(Table1[[#This Row],[C]]&lt;&gt;0)</f>
        <v>0</v>
      </c>
      <c r="P1070">
        <f>NETWORKDAYS(Table1[[#This Row],[ts_event]],Table1[[#This Row],[option_expiry_date]])</f>
        <v>73</v>
      </c>
      <c r="Q1070">
        <f>Table1[[#This Row],[Column2]]/252</f>
        <v>0.28968253968253971</v>
      </c>
      <c r="R1070" s="2" t="e">
        <f>IF(Table1[[#This Row],[CHECK2]]=0,NA(),
-(1/Table1[[#This Row],[T]])*LN((Table1[[#This Row],[S0]]-Table1[[#This Row],[C]]+Table1[[#This Row],[P]])/Table1[[#This Row],[K]])
)</f>
        <v>#N/A</v>
      </c>
    </row>
    <row r="1071" spans="1:18">
      <c r="A1071">
        <v>1</v>
      </c>
      <c r="B1071" t="s">
        <v>10</v>
      </c>
      <c r="C1071" s="1">
        <v>46160</v>
      </c>
      <c r="D1071" t="s">
        <v>17</v>
      </c>
      <c r="E1071">
        <v>60</v>
      </c>
      <c r="F1071" t="s">
        <v>12</v>
      </c>
      <c r="G1071" t="s">
        <v>13</v>
      </c>
      <c r="H1071" s="1">
        <v>46260</v>
      </c>
      <c r="I1071">
        <v>0</v>
      </c>
      <c r="J1071">
        <v>6.75</v>
      </c>
      <c r="K1071">
        <v>0</v>
      </c>
      <c r="L1071">
        <v>350</v>
      </c>
      <c r="M1071">
        <v>49.433448835950102</v>
      </c>
      <c r="N1071">
        <v>1.931</v>
      </c>
      <c r="O1071">
        <f>(Table1[[#This Row],[P]]&lt;&gt;0)*(Table1[[#This Row],[C]]&lt;&gt;0)</f>
        <v>0</v>
      </c>
      <c r="P1071">
        <f>NETWORKDAYS(Table1[[#This Row],[ts_event]],Table1[[#This Row],[option_expiry_date]])</f>
        <v>73</v>
      </c>
      <c r="Q1071">
        <f>Table1[[#This Row],[Column2]]/252</f>
        <v>0.28968253968253971</v>
      </c>
      <c r="R1071" s="2" t="e">
        <f>IF(Table1[[#This Row],[CHECK2]]=0,NA(),
-(1/Table1[[#This Row],[T]])*LN((Table1[[#This Row],[S0]]-Table1[[#This Row],[C]]+Table1[[#This Row],[P]])/Table1[[#This Row],[K]])
)</f>
        <v>#N/A</v>
      </c>
    </row>
    <row r="1072" spans="1:18">
      <c r="A1072">
        <v>1</v>
      </c>
      <c r="B1072" t="s">
        <v>10</v>
      </c>
      <c r="C1072" s="1">
        <v>46160</v>
      </c>
      <c r="D1072" t="s">
        <v>17</v>
      </c>
      <c r="E1072">
        <v>80</v>
      </c>
      <c r="F1072" t="s">
        <v>12</v>
      </c>
      <c r="G1072" t="s">
        <v>13</v>
      </c>
      <c r="H1072" s="1">
        <v>46260</v>
      </c>
      <c r="I1072">
        <v>0</v>
      </c>
      <c r="J1072">
        <v>4.0999999999999996</v>
      </c>
      <c r="K1072">
        <v>0</v>
      </c>
      <c r="L1072">
        <v>100</v>
      </c>
      <c r="M1072">
        <v>49.433448835950102</v>
      </c>
      <c r="N1072">
        <v>1.931</v>
      </c>
      <c r="O1072">
        <f>(Table1[[#This Row],[P]]&lt;&gt;0)*(Table1[[#This Row],[C]]&lt;&gt;0)</f>
        <v>0</v>
      </c>
      <c r="P1072">
        <f>NETWORKDAYS(Table1[[#This Row],[ts_event]],Table1[[#This Row],[option_expiry_date]])</f>
        <v>73</v>
      </c>
      <c r="Q1072">
        <f>Table1[[#This Row],[Column2]]/252</f>
        <v>0.28968253968253971</v>
      </c>
      <c r="R1072" s="2" t="e">
        <f>IF(Table1[[#This Row],[CHECK2]]=0,NA(),
-(1/Table1[[#This Row],[T]])*LN((Table1[[#This Row],[S0]]-Table1[[#This Row],[C]]+Table1[[#This Row],[P]])/Table1[[#This Row],[K]])
)</f>
        <v>#N/A</v>
      </c>
    </row>
    <row r="1073" spans="1:18">
      <c r="A1073">
        <v>1</v>
      </c>
      <c r="B1073" t="s">
        <v>10</v>
      </c>
      <c r="C1073" s="1">
        <v>46160</v>
      </c>
      <c r="D1073" t="s">
        <v>18</v>
      </c>
      <c r="E1073">
        <v>28</v>
      </c>
      <c r="F1073" t="s">
        <v>12</v>
      </c>
      <c r="G1073" t="s">
        <v>13</v>
      </c>
      <c r="H1073" s="1">
        <v>46290</v>
      </c>
      <c r="I1073">
        <v>0.33500000000000002</v>
      </c>
      <c r="J1073">
        <v>0</v>
      </c>
      <c r="K1073">
        <v>450</v>
      </c>
      <c r="L1073">
        <v>0</v>
      </c>
      <c r="M1073">
        <v>49.046675856849298</v>
      </c>
      <c r="N1073">
        <v>1.931</v>
      </c>
      <c r="O1073">
        <f>(Table1[[#This Row],[P]]&lt;&gt;0)*(Table1[[#This Row],[C]]&lt;&gt;0)</f>
        <v>0</v>
      </c>
      <c r="P1073">
        <f>NETWORKDAYS(Table1[[#This Row],[ts_event]],Table1[[#This Row],[option_expiry_date]])</f>
        <v>95</v>
      </c>
      <c r="Q1073">
        <f>Table1[[#This Row],[Column2]]/252</f>
        <v>0.37698412698412698</v>
      </c>
      <c r="R1073" s="2" t="e">
        <f>IF(Table1[[#This Row],[CHECK2]]=0,NA(),
-(1/Table1[[#This Row],[T]])*LN((Table1[[#This Row],[S0]]-Table1[[#This Row],[C]]+Table1[[#This Row],[P]])/Table1[[#This Row],[K]])
)</f>
        <v>#N/A</v>
      </c>
    </row>
    <row r="1074" spans="1:18">
      <c r="A1074">
        <v>1</v>
      </c>
      <c r="B1074" t="s">
        <v>10</v>
      </c>
      <c r="C1074" s="1">
        <v>46160</v>
      </c>
      <c r="D1074" t="s">
        <v>18</v>
      </c>
      <c r="E1074">
        <v>30</v>
      </c>
      <c r="F1074" t="s">
        <v>12</v>
      </c>
      <c r="G1074" t="s">
        <v>13</v>
      </c>
      <c r="H1074" s="1">
        <v>46290</v>
      </c>
      <c r="I1074">
        <v>0.55000000000000004</v>
      </c>
      <c r="J1074">
        <v>0</v>
      </c>
      <c r="K1074">
        <v>350</v>
      </c>
      <c r="L1074">
        <v>0</v>
      </c>
      <c r="M1074">
        <v>49.046675856849298</v>
      </c>
      <c r="N1074">
        <v>1.931</v>
      </c>
      <c r="O1074">
        <f>(Table1[[#This Row],[P]]&lt;&gt;0)*(Table1[[#This Row],[C]]&lt;&gt;0)</f>
        <v>0</v>
      </c>
      <c r="P1074">
        <f>NETWORKDAYS(Table1[[#This Row],[ts_event]],Table1[[#This Row],[option_expiry_date]])</f>
        <v>95</v>
      </c>
      <c r="Q1074">
        <f>Table1[[#This Row],[Column2]]/252</f>
        <v>0.37698412698412698</v>
      </c>
      <c r="R1074" s="2" t="e">
        <f>IF(Table1[[#This Row],[CHECK2]]=0,NA(),
-(1/Table1[[#This Row],[T]])*LN((Table1[[#This Row],[S0]]-Table1[[#This Row],[C]]+Table1[[#This Row],[P]])/Table1[[#This Row],[K]])
)</f>
        <v>#N/A</v>
      </c>
    </row>
    <row r="1075" spans="1:18">
      <c r="A1075">
        <v>1</v>
      </c>
      <c r="B1075" t="s">
        <v>10</v>
      </c>
      <c r="C1075" s="1">
        <v>46160</v>
      </c>
      <c r="D1075" t="s">
        <v>18</v>
      </c>
      <c r="E1075">
        <v>33</v>
      </c>
      <c r="F1075" t="s">
        <v>12</v>
      </c>
      <c r="G1075" t="s">
        <v>13</v>
      </c>
      <c r="H1075" s="1">
        <v>46290</v>
      </c>
      <c r="I1075">
        <v>0.9</v>
      </c>
      <c r="J1075">
        <v>0</v>
      </c>
      <c r="K1075">
        <v>200</v>
      </c>
      <c r="L1075">
        <v>0</v>
      </c>
      <c r="M1075">
        <v>49.046675856849298</v>
      </c>
      <c r="N1075">
        <v>1.931</v>
      </c>
      <c r="O1075">
        <f>(Table1[[#This Row],[P]]&lt;&gt;0)*(Table1[[#This Row],[C]]&lt;&gt;0)</f>
        <v>0</v>
      </c>
      <c r="P1075">
        <f>NETWORKDAYS(Table1[[#This Row],[ts_event]],Table1[[#This Row],[option_expiry_date]])</f>
        <v>95</v>
      </c>
      <c r="Q1075">
        <f>Table1[[#This Row],[Column2]]/252</f>
        <v>0.37698412698412698</v>
      </c>
      <c r="R1075" s="2" t="e">
        <f>IF(Table1[[#This Row],[CHECK2]]=0,NA(),
-(1/Table1[[#This Row],[T]])*LN((Table1[[#This Row],[S0]]-Table1[[#This Row],[C]]+Table1[[#This Row],[P]])/Table1[[#This Row],[K]])
)</f>
        <v>#N/A</v>
      </c>
    </row>
    <row r="1076" spans="1:18">
      <c r="A1076">
        <v>1</v>
      </c>
      <c r="B1076" t="s">
        <v>10</v>
      </c>
      <c r="C1076" s="1">
        <v>46160</v>
      </c>
      <c r="D1076" t="s">
        <v>18</v>
      </c>
      <c r="E1076">
        <v>35</v>
      </c>
      <c r="F1076" t="s">
        <v>12</v>
      </c>
      <c r="G1076" t="s">
        <v>13</v>
      </c>
      <c r="H1076" s="1">
        <v>46290</v>
      </c>
      <c r="I1076">
        <v>1.35</v>
      </c>
      <c r="J1076">
        <v>0</v>
      </c>
      <c r="K1076">
        <v>450</v>
      </c>
      <c r="L1076">
        <v>0</v>
      </c>
      <c r="M1076">
        <v>49.046675856849298</v>
      </c>
      <c r="N1076">
        <v>1.931</v>
      </c>
      <c r="O1076">
        <f>(Table1[[#This Row],[P]]&lt;&gt;0)*(Table1[[#This Row],[C]]&lt;&gt;0)</f>
        <v>0</v>
      </c>
      <c r="P1076">
        <f>NETWORKDAYS(Table1[[#This Row],[ts_event]],Table1[[#This Row],[option_expiry_date]])</f>
        <v>95</v>
      </c>
      <c r="Q1076">
        <f>Table1[[#This Row],[Column2]]/252</f>
        <v>0.37698412698412698</v>
      </c>
      <c r="R1076" s="2" t="e">
        <f>IF(Table1[[#This Row],[CHECK2]]=0,NA(),
-(1/Table1[[#This Row],[T]])*LN((Table1[[#This Row],[S0]]-Table1[[#This Row],[C]]+Table1[[#This Row],[P]])/Table1[[#This Row],[K]])
)</f>
        <v>#N/A</v>
      </c>
    </row>
    <row r="1077" spans="1:18">
      <c r="A1077">
        <v>2</v>
      </c>
      <c r="B1077" t="s">
        <v>10</v>
      </c>
      <c r="C1077" s="1">
        <v>46160</v>
      </c>
      <c r="D1077" t="s">
        <v>18</v>
      </c>
      <c r="E1077">
        <v>49</v>
      </c>
      <c r="F1077" t="s">
        <v>12</v>
      </c>
      <c r="G1077" t="s">
        <v>13</v>
      </c>
      <c r="H1077" s="1">
        <v>46290</v>
      </c>
      <c r="I1077">
        <v>8.7750000000000004</v>
      </c>
      <c r="J1077">
        <v>8.7750000000000004</v>
      </c>
      <c r="K1077">
        <v>250</v>
      </c>
      <c r="L1077">
        <v>250</v>
      </c>
      <c r="M1077">
        <v>49.046675856849298</v>
      </c>
      <c r="N1077">
        <v>1.931</v>
      </c>
      <c r="O1077">
        <f>(Table1[[#This Row],[P]]&lt;&gt;0)*(Table1[[#This Row],[C]]&lt;&gt;0)</f>
        <v>1</v>
      </c>
      <c r="P1077">
        <f>NETWORKDAYS(Table1[[#This Row],[ts_event]],Table1[[#This Row],[option_expiry_date]])</f>
        <v>95</v>
      </c>
      <c r="Q1077">
        <f>Table1[[#This Row],[Column2]]/252</f>
        <v>0.37698412698412698</v>
      </c>
      <c r="R1077" s="2">
        <f>IF(Table1[[#This Row],[CHECK2]]=0,NA(),
-(1/Table1[[#This Row],[T]])*LN((Table1[[#This Row],[S0]]-Table1[[#This Row],[C]]+Table1[[#This Row],[P]])/Table1[[#This Row],[K]])
)</f>
        <v>-2.5256105854520165E-3</v>
      </c>
    </row>
    <row r="1078" spans="1:18">
      <c r="A1078">
        <v>1</v>
      </c>
      <c r="B1078" t="s">
        <v>10</v>
      </c>
      <c r="C1078" s="1">
        <v>46160</v>
      </c>
      <c r="D1078" t="s">
        <v>18</v>
      </c>
      <c r="E1078">
        <v>55</v>
      </c>
      <c r="F1078" t="s">
        <v>12</v>
      </c>
      <c r="G1078" t="s">
        <v>13</v>
      </c>
      <c r="H1078" s="1">
        <v>46290</v>
      </c>
      <c r="I1078">
        <v>0</v>
      </c>
      <c r="J1078">
        <v>7.16</v>
      </c>
      <c r="K1078">
        <v>0</v>
      </c>
      <c r="L1078">
        <v>200</v>
      </c>
      <c r="M1078">
        <v>49.046675856849298</v>
      </c>
      <c r="N1078">
        <v>1.931</v>
      </c>
      <c r="O1078">
        <f>(Table1[[#This Row],[P]]&lt;&gt;0)*(Table1[[#This Row],[C]]&lt;&gt;0)</f>
        <v>0</v>
      </c>
      <c r="P1078">
        <f>NETWORKDAYS(Table1[[#This Row],[ts_event]],Table1[[#This Row],[option_expiry_date]])</f>
        <v>95</v>
      </c>
      <c r="Q1078">
        <f>Table1[[#This Row],[Column2]]/252</f>
        <v>0.37698412698412698</v>
      </c>
      <c r="R1078" s="2" t="e">
        <f>IF(Table1[[#This Row],[CHECK2]]=0,NA(),
-(1/Table1[[#This Row],[T]])*LN((Table1[[#This Row],[S0]]-Table1[[#This Row],[C]]+Table1[[#This Row],[P]])/Table1[[#This Row],[K]])
)</f>
        <v>#N/A</v>
      </c>
    </row>
    <row r="1079" spans="1:18">
      <c r="A1079">
        <v>1</v>
      </c>
      <c r="B1079" t="s">
        <v>10</v>
      </c>
      <c r="C1079" s="1">
        <v>46160</v>
      </c>
      <c r="D1079" t="s">
        <v>18</v>
      </c>
      <c r="E1079">
        <v>60</v>
      </c>
      <c r="F1079" t="s">
        <v>12</v>
      </c>
      <c r="G1079" t="s">
        <v>13</v>
      </c>
      <c r="H1079" s="1">
        <v>46290</v>
      </c>
      <c r="I1079">
        <v>0</v>
      </c>
      <c r="J1079">
        <v>6.1349999999999998</v>
      </c>
      <c r="K1079">
        <v>0</v>
      </c>
      <c r="L1079">
        <v>440</v>
      </c>
      <c r="M1079">
        <v>49.046675856849298</v>
      </c>
      <c r="N1079">
        <v>1.931</v>
      </c>
      <c r="O1079">
        <f>(Table1[[#This Row],[P]]&lt;&gt;0)*(Table1[[#This Row],[C]]&lt;&gt;0)</f>
        <v>0</v>
      </c>
      <c r="P1079">
        <f>NETWORKDAYS(Table1[[#This Row],[ts_event]],Table1[[#This Row],[option_expiry_date]])</f>
        <v>95</v>
      </c>
      <c r="Q1079">
        <f>Table1[[#This Row],[Column2]]/252</f>
        <v>0.37698412698412698</v>
      </c>
      <c r="R1079" s="2" t="e">
        <f>IF(Table1[[#This Row],[CHECK2]]=0,NA(),
-(1/Table1[[#This Row],[T]])*LN((Table1[[#This Row],[S0]]-Table1[[#This Row],[C]]+Table1[[#This Row],[P]])/Table1[[#This Row],[K]])
)</f>
        <v>#N/A</v>
      </c>
    </row>
    <row r="1080" spans="1:18">
      <c r="A1080">
        <v>1</v>
      </c>
      <c r="B1080" t="s">
        <v>10</v>
      </c>
      <c r="C1080" s="1">
        <v>46160</v>
      </c>
      <c r="D1080" t="s">
        <v>21</v>
      </c>
      <c r="E1080">
        <v>50</v>
      </c>
      <c r="F1080" t="s">
        <v>12</v>
      </c>
      <c r="G1080" t="s">
        <v>13</v>
      </c>
      <c r="H1080" s="1">
        <v>46322</v>
      </c>
      <c r="I1080">
        <v>0</v>
      </c>
      <c r="J1080">
        <v>9.5</v>
      </c>
      <c r="K1080">
        <v>0</v>
      </c>
      <c r="L1080">
        <v>100</v>
      </c>
      <c r="M1080">
        <v>47.8963122642025</v>
      </c>
      <c r="N1080">
        <v>1.931</v>
      </c>
      <c r="O1080">
        <f>(Table1[[#This Row],[P]]&lt;&gt;0)*(Table1[[#This Row],[C]]&lt;&gt;0)</f>
        <v>0</v>
      </c>
      <c r="P1080">
        <f>NETWORKDAYS(Table1[[#This Row],[ts_event]],Table1[[#This Row],[option_expiry_date]])</f>
        <v>117</v>
      </c>
      <c r="Q1080">
        <f>Table1[[#This Row],[Column2]]/252</f>
        <v>0.4642857142857143</v>
      </c>
      <c r="R1080" s="2" t="e">
        <f>IF(Table1[[#This Row],[CHECK2]]=0,NA(),
-(1/Table1[[#This Row],[T]])*LN((Table1[[#This Row],[S0]]-Table1[[#This Row],[C]]+Table1[[#This Row],[P]])/Table1[[#This Row],[K]])
)</f>
        <v>#N/A</v>
      </c>
    </row>
    <row r="1081" spans="1:18">
      <c r="A1081">
        <v>1</v>
      </c>
      <c r="B1081" t="s">
        <v>10</v>
      </c>
      <c r="C1081" s="1">
        <v>46160</v>
      </c>
      <c r="D1081" t="s">
        <v>21</v>
      </c>
      <c r="E1081">
        <v>70</v>
      </c>
      <c r="F1081" t="s">
        <v>12</v>
      </c>
      <c r="G1081" t="s">
        <v>13</v>
      </c>
      <c r="H1081" s="1">
        <v>46322</v>
      </c>
      <c r="I1081">
        <v>0</v>
      </c>
      <c r="J1081">
        <v>5.65</v>
      </c>
      <c r="K1081">
        <v>0</v>
      </c>
      <c r="L1081">
        <v>140</v>
      </c>
      <c r="M1081">
        <v>47.8963122642025</v>
      </c>
      <c r="N1081">
        <v>1.931</v>
      </c>
      <c r="O1081">
        <f>(Table1[[#This Row],[P]]&lt;&gt;0)*(Table1[[#This Row],[C]]&lt;&gt;0)</f>
        <v>0</v>
      </c>
      <c r="P1081">
        <f>NETWORKDAYS(Table1[[#This Row],[ts_event]],Table1[[#This Row],[option_expiry_date]])</f>
        <v>117</v>
      </c>
      <c r="Q1081">
        <f>Table1[[#This Row],[Column2]]/252</f>
        <v>0.4642857142857143</v>
      </c>
      <c r="R1081" s="2" t="e">
        <f>IF(Table1[[#This Row],[CHECK2]]=0,NA(),
-(1/Table1[[#This Row],[T]])*LN((Table1[[#This Row],[S0]]-Table1[[#This Row],[C]]+Table1[[#This Row],[P]])/Table1[[#This Row],[K]])
)</f>
        <v>#N/A</v>
      </c>
    </row>
    <row r="1082" spans="1:18">
      <c r="A1082">
        <v>1</v>
      </c>
      <c r="B1082" t="s">
        <v>10</v>
      </c>
      <c r="C1082" s="1">
        <v>46160</v>
      </c>
      <c r="D1082" t="s">
        <v>24</v>
      </c>
      <c r="E1082">
        <v>80</v>
      </c>
      <c r="F1082" t="s">
        <v>12</v>
      </c>
      <c r="G1082" t="s">
        <v>13</v>
      </c>
      <c r="H1082" s="1">
        <v>46414</v>
      </c>
      <c r="I1082">
        <v>0</v>
      </c>
      <c r="J1082">
        <v>6.8</v>
      </c>
      <c r="K1082">
        <v>0</v>
      </c>
      <c r="L1082">
        <v>750</v>
      </c>
      <c r="M1082">
        <v>46.3695551303515</v>
      </c>
      <c r="N1082">
        <v>1.931</v>
      </c>
      <c r="O1082">
        <f>(Table1[[#This Row],[P]]&lt;&gt;0)*(Table1[[#This Row],[C]]&lt;&gt;0)</f>
        <v>0</v>
      </c>
      <c r="P1082">
        <f>NETWORKDAYS(Table1[[#This Row],[ts_event]],Table1[[#This Row],[option_expiry_date]])</f>
        <v>183</v>
      </c>
      <c r="Q1082">
        <f>Table1[[#This Row],[Column2]]/252</f>
        <v>0.72619047619047616</v>
      </c>
      <c r="R1082" s="2" t="e">
        <f>IF(Table1[[#This Row],[CHECK2]]=0,NA(),
-(1/Table1[[#This Row],[T]])*LN((Table1[[#This Row],[S0]]-Table1[[#This Row],[C]]+Table1[[#This Row],[P]])/Table1[[#This Row],[K]])
)</f>
        <v>#N/A</v>
      </c>
    </row>
    <row r="1083" spans="1:18">
      <c r="A1083">
        <v>1</v>
      </c>
      <c r="B1083" t="s">
        <v>10</v>
      </c>
      <c r="C1083" s="1">
        <v>46161</v>
      </c>
      <c r="D1083" t="s">
        <v>14</v>
      </c>
      <c r="E1083">
        <v>38</v>
      </c>
      <c r="F1083" t="s">
        <v>12</v>
      </c>
      <c r="G1083" t="s">
        <v>13</v>
      </c>
      <c r="H1083" s="1">
        <v>46169</v>
      </c>
      <c r="I1083">
        <v>0.12</v>
      </c>
      <c r="J1083">
        <v>0</v>
      </c>
      <c r="K1083">
        <v>600</v>
      </c>
      <c r="L1083">
        <v>0</v>
      </c>
      <c r="M1083">
        <v>51.894568043012903</v>
      </c>
      <c r="N1083">
        <v>1.929</v>
      </c>
      <c r="O1083">
        <f>(Table1[[#This Row],[P]]&lt;&gt;0)*(Table1[[#This Row],[C]]&lt;&gt;0)</f>
        <v>0</v>
      </c>
      <c r="P1083">
        <f>NETWORKDAYS(Table1[[#This Row],[ts_event]],Table1[[#This Row],[option_expiry_date]])</f>
        <v>7</v>
      </c>
      <c r="Q1083">
        <f>Table1[[#This Row],[Column2]]/252</f>
        <v>2.7777777777777776E-2</v>
      </c>
      <c r="R1083" s="2" t="e">
        <f>IF(Table1[[#This Row],[CHECK2]]=0,NA(),
-(1/Table1[[#This Row],[T]])*LN((Table1[[#This Row],[S0]]-Table1[[#This Row],[C]]+Table1[[#This Row],[P]])/Table1[[#This Row],[K]])
)</f>
        <v>#N/A</v>
      </c>
    </row>
    <row r="1084" spans="1:18">
      <c r="A1084">
        <v>1</v>
      </c>
      <c r="B1084" t="s">
        <v>10</v>
      </c>
      <c r="C1084" s="1">
        <v>46161</v>
      </c>
      <c r="D1084" t="s">
        <v>14</v>
      </c>
      <c r="E1084">
        <v>39</v>
      </c>
      <c r="F1084" t="s">
        <v>12</v>
      </c>
      <c r="G1084" t="s">
        <v>13</v>
      </c>
      <c r="H1084" s="1">
        <v>46169</v>
      </c>
      <c r="I1084">
        <v>0.1</v>
      </c>
      <c r="J1084">
        <v>0</v>
      </c>
      <c r="K1084">
        <v>500</v>
      </c>
      <c r="L1084">
        <v>0</v>
      </c>
      <c r="M1084">
        <v>51.894568043012903</v>
      </c>
      <c r="N1084">
        <v>1.929</v>
      </c>
      <c r="O1084">
        <f>(Table1[[#This Row],[P]]&lt;&gt;0)*(Table1[[#This Row],[C]]&lt;&gt;0)</f>
        <v>0</v>
      </c>
      <c r="P1084">
        <f>NETWORKDAYS(Table1[[#This Row],[ts_event]],Table1[[#This Row],[option_expiry_date]])</f>
        <v>7</v>
      </c>
      <c r="Q1084">
        <f>Table1[[#This Row],[Column2]]/252</f>
        <v>2.7777777777777776E-2</v>
      </c>
      <c r="R1084" s="2" t="e">
        <f>IF(Table1[[#This Row],[CHECK2]]=0,NA(),
-(1/Table1[[#This Row],[T]])*LN((Table1[[#This Row],[S0]]-Table1[[#This Row],[C]]+Table1[[#This Row],[P]])/Table1[[#This Row],[K]])
)</f>
        <v>#N/A</v>
      </c>
    </row>
    <row r="1085" spans="1:18">
      <c r="A1085">
        <v>2</v>
      </c>
      <c r="B1085" t="s">
        <v>10</v>
      </c>
      <c r="C1085" s="1">
        <v>46161</v>
      </c>
      <c r="D1085" t="s">
        <v>14</v>
      </c>
      <c r="E1085">
        <v>40</v>
      </c>
      <c r="F1085" t="s">
        <v>12</v>
      </c>
      <c r="G1085" t="s">
        <v>13</v>
      </c>
      <c r="H1085" s="1">
        <v>46169</v>
      </c>
      <c r="I1085">
        <v>0.14537313432835799</v>
      </c>
      <c r="J1085">
        <v>0</v>
      </c>
      <c r="K1085">
        <v>1675</v>
      </c>
      <c r="L1085">
        <v>0</v>
      </c>
      <c r="M1085">
        <v>51.894568043012903</v>
      </c>
      <c r="N1085">
        <v>1.929</v>
      </c>
      <c r="O1085">
        <f>(Table1[[#This Row],[P]]&lt;&gt;0)*(Table1[[#This Row],[C]]&lt;&gt;0)</f>
        <v>0</v>
      </c>
      <c r="P1085">
        <f>NETWORKDAYS(Table1[[#This Row],[ts_event]],Table1[[#This Row],[option_expiry_date]])</f>
        <v>7</v>
      </c>
      <c r="Q1085">
        <f>Table1[[#This Row],[Column2]]/252</f>
        <v>2.7777777777777776E-2</v>
      </c>
      <c r="R1085" s="2" t="e">
        <f>IF(Table1[[#This Row],[CHECK2]]=0,NA(),
-(1/Table1[[#This Row],[T]])*LN((Table1[[#This Row],[S0]]-Table1[[#This Row],[C]]+Table1[[#This Row],[P]])/Table1[[#This Row],[K]])
)</f>
        <v>#N/A</v>
      </c>
    </row>
    <row r="1086" spans="1:18">
      <c r="A1086">
        <v>1</v>
      </c>
      <c r="B1086" t="s">
        <v>10</v>
      </c>
      <c r="C1086" s="1">
        <v>46161</v>
      </c>
      <c r="D1086" t="s">
        <v>14</v>
      </c>
      <c r="E1086">
        <v>41</v>
      </c>
      <c r="F1086" t="s">
        <v>12</v>
      </c>
      <c r="G1086" t="s">
        <v>13</v>
      </c>
      <c r="H1086" s="1">
        <v>46169</v>
      </c>
      <c r="I1086">
        <v>0.2</v>
      </c>
      <c r="J1086">
        <v>0</v>
      </c>
      <c r="K1086">
        <v>1200</v>
      </c>
      <c r="L1086">
        <v>0</v>
      </c>
      <c r="M1086">
        <v>51.894568043012903</v>
      </c>
      <c r="N1086">
        <v>1.929</v>
      </c>
      <c r="O1086">
        <f>(Table1[[#This Row],[P]]&lt;&gt;0)*(Table1[[#This Row],[C]]&lt;&gt;0)</f>
        <v>0</v>
      </c>
      <c r="P1086">
        <f>NETWORKDAYS(Table1[[#This Row],[ts_event]],Table1[[#This Row],[option_expiry_date]])</f>
        <v>7</v>
      </c>
      <c r="Q1086">
        <f>Table1[[#This Row],[Column2]]/252</f>
        <v>2.7777777777777776E-2</v>
      </c>
      <c r="R1086" s="2" t="e">
        <f>IF(Table1[[#This Row],[CHECK2]]=0,NA(),
-(1/Table1[[#This Row],[T]])*LN((Table1[[#This Row],[S0]]-Table1[[#This Row],[C]]+Table1[[#This Row],[P]])/Table1[[#This Row],[K]])
)</f>
        <v>#N/A</v>
      </c>
    </row>
    <row r="1087" spans="1:18">
      <c r="A1087">
        <v>1</v>
      </c>
      <c r="B1087" t="s">
        <v>10</v>
      </c>
      <c r="C1087" s="1">
        <v>46161</v>
      </c>
      <c r="D1087" t="s">
        <v>14</v>
      </c>
      <c r="E1087">
        <v>42</v>
      </c>
      <c r="F1087" t="s">
        <v>12</v>
      </c>
      <c r="G1087" t="s">
        <v>13</v>
      </c>
      <c r="H1087" s="1">
        <v>46169</v>
      </c>
      <c r="I1087">
        <v>0.27</v>
      </c>
      <c r="J1087">
        <v>0</v>
      </c>
      <c r="K1087">
        <v>3550</v>
      </c>
      <c r="L1087">
        <v>0</v>
      </c>
      <c r="M1087">
        <v>51.894568043012903</v>
      </c>
      <c r="N1087">
        <v>1.929</v>
      </c>
      <c r="O1087">
        <f>(Table1[[#This Row],[P]]&lt;&gt;0)*(Table1[[#This Row],[C]]&lt;&gt;0)</f>
        <v>0</v>
      </c>
      <c r="P1087">
        <f>NETWORKDAYS(Table1[[#This Row],[ts_event]],Table1[[#This Row],[option_expiry_date]])</f>
        <v>7</v>
      </c>
      <c r="Q1087">
        <f>Table1[[#This Row],[Column2]]/252</f>
        <v>2.7777777777777776E-2</v>
      </c>
      <c r="R1087" s="2" t="e">
        <f>IF(Table1[[#This Row],[CHECK2]]=0,NA(),
-(1/Table1[[#This Row],[T]])*LN((Table1[[#This Row],[S0]]-Table1[[#This Row],[C]]+Table1[[#This Row],[P]])/Table1[[#This Row],[K]])
)</f>
        <v>#N/A</v>
      </c>
    </row>
    <row r="1088" spans="1:18">
      <c r="A1088">
        <v>2</v>
      </c>
      <c r="B1088" t="s">
        <v>10</v>
      </c>
      <c r="C1088" s="1">
        <v>46161</v>
      </c>
      <c r="D1088" t="s">
        <v>14</v>
      </c>
      <c r="E1088">
        <v>43</v>
      </c>
      <c r="F1088" t="s">
        <v>12</v>
      </c>
      <c r="G1088" t="s">
        <v>13</v>
      </c>
      <c r="H1088" s="1">
        <v>46169</v>
      </c>
      <c r="I1088">
        <v>0.35</v>
      </c>
      <c r="J1088">
        <v>0</v>
      </c>
      <c r="K1088">
        <v>1900</v>
      </c>
      <c r="L1088">
        <v>0</v>
      </c>
      <c r="M1088">
        <v>51.894568043012903</v>
      </c>
      <c r="N1088">
        <v>1.929</v>
      </c>
      <c r="O1088">
        <f>(Table1[[#This Row],[P]]&lt;&gt;0)*(Table1[[#This Row],[C]]&lt;&gt;0)</f>
        <v>0</v>
      </c>
      <c r="P1088">
        <f>NETWORKDAYS(Table1[[#This Row],[ts_event]],Table1[[#This Row],[option_expiry_date]])</f>
        <v>7</v>
      </c>
      <c r="Q1088">
        <f>Table1[[#This Row],[Column2]]/252</f>
        <v>2.7777777777777776E-2</v>
      </c>
      <c r="R1088" s="2" t="e">
        <f>IF(Table1[[#This Row],[CHECK2]]=0,NA(),
-(1/Table1[[#This Row],[T]])*LN((Table1[[#This Row],[S0]]-Table1[[#This Row],[C]]+Table1[[#This Row],[P]])/Table1[[#This Row],[K]])
)</f>
        <v>#N/A</v>
      </c>
    </row>
    <row r="1089" spans="1:18">
      <c r="A1089">
        <v>1</v>
      </c>
      <c r="B1089" t="s">
        <v>10</v>
      </c>
      <c r="C1089" s="1">
        <v>46161</v>
      </c>
      <c r="D1089" t="s">
        <v>14</v>
      </c>
      <c r="E1089">
        <v>44</v>
      </c>
      <c r="F1089" t="s">
        <v>12</v>
      </c>
      <c r="G1089" t="s">
        <v>13</v>
      </c>
      <c r="H1089" s="1">
        <v>46169</v>
      </c>
      <c r="I1089">
        <v>0.41999999999999899</v>
      </c>
      <c r="J1089">
        <v>0</v>
      </c>
      <c r="K1089">
        <v>655</v>
      </c>
      <c r="L1089">
        <v>0</v>
      </c>
      <c r="M1089">
        <v>51.894568043012903</v>
      </c>
      <c r="N1089">
        <v>1.929</v>
      </c>
      <c r="O1089">
        <f>(Table1[[#This Row],[P]]&lt;&gt;0)*(Table1[[#This Row],[C]]&lt;&gt;0)</f>
        <v>0</v>
      </c>
      <c r="P1089">
        <f>NETWORKDAYS(Table1[[#This Row],[ts_event]],Table1[[#This Row],[option_expiry_date]])</f>
        <v>7</v>
      </c>
      <c r="Q1089">
        <f>Table1[[#This Row],[Column2]]/252</f>
        <v>2.7777777777777776E-2</v>
      </c>
      <c r="R1089" s="2" t="e">
        <f>IF(Table1[[#This Row],[CHECK2]]=0,NA(),
-(1/Table1[[#This Row],[T]])*LN((Table1[[#This Row],[S0]]-Table1[[#This Row],[C]]+Table1[[#This Row],[P]])/Table1[[#This Row],[K]])
)</f>
        <v>#N/A</v>
      </c>
    </row>
    <row r="1090" spans="1:18">
      <c r="A1090">
        <v>2</v>
      </c>
      <c r="B1090" t="s">
        <v>10</v>
      </c>
      <c r="C1090" s="1">
        <v>46161</v>
      </c>
      <c r="D1090" t="s">
        <v>14</v>
      </c>
      <c r="E1090">
        <v>45</v>
      </c>
      <c r="F1090" t="s">
        <v>12</v>
      </c>
      <c r="G1090" t="s">
        <v>13</v>
      </c>
      <c r="H1090" s="1">
        <v>46169</v>
      </c>
      <c r="I1090">
        <v>0.53204887218045105</v>
      </c>
      <c r="J1090">
        <v>0</v>
      </c>
      <c r="K1090">
        <v>6650</v>
      </c>
      <c r="L1090">
        <v>0</v>
      </c>
      <c r="M1090">
        <v>51.894568043012903</v>
      </c>
      <c r="N1090">
        <v>1.929</v>
      </c>
      <c r="O1090">
        <f>(Table1[[#This Row],[P]]&lt;&gt;0)*(Table1[[#This Row],[C]]&lt;&gt;0)</f>
        <v>0</v>
      </c>
      <c r="P1090">
        <f>NETWORKDAYS(Table1[[#This Row],[ts_event]],Table1[[#This Row],[option_expiry_date]])</f>
        <v>7</v>
      </c>
      <c r="Q1090">
        <f>Table1[[#This Row],[Column2]]/252</f>
        <v>2.7777777777777776E-2</v>
      </c>
      <c r="R1090" s="2" t="e">
        <f>IF(Table1[[#This Row],[CHECK2]]=0,NA(),
-(1/Table1[[#This Row],[T]])*LN((Table1[[#This Row],[S0]]-Table1[[#This Row],[C]]+Table1[[#This Row],[P]])/Table1[[#This Row],[K]])
)</f>
        <v>#N/A</v>
      </c>
    </row>
    <row r="1091" spans="1:18">
      <c r="A1091">
        <v>1</v>
      </c>
      <c r="B1091" t="s">
        <v>10</v>
      </c>
      <c r="C1091" s="1">
        <v>46161</v>
      </c>
      <c r="D1091" t="s">
        <v>14</v>
      </c>
      <c r="E1091">
        <v>46</v>
      </c>
      <c r="F1091" t="s">
        <v>12</v>
      </c>
      <c r="G1091" t="s">
        <v>13</v>
      </c>
      <c r="H1091" s="1">
        <v>46169</v>
      </c>
      <c r="I1091">
        <v>0.75</v>
      </c>
      <c r="J1091">
        <v>0</v>
      </c>
      <c r="K1091">
        <v>500</v>
      </c>
      <c r="L1091">
        <v>0</v>
      </c>
      <c r="M1091">
        <v>51.894568043012903</v>
      </c>
      <c r="N1091">
        <v>1.929</v>
      </c>
      <c r="O1091">
        <f>(Table1[[#This Row],[P]]&lt;&gt;0)*(Table1[[#This Row],[C]]&lt;&gt;0)</f>
        <v>0</v>
      </c>
      <c r="P1091">
        <f>NETWORKDAYS(Table1[[#This Row],[ts_event]],Table1[[#This Row],[option_expiry_date]])</f>
        <v>7</v>
      </c>
      <c r="Q1091">
        <f>Table1[[#This Row],[Column2]]/252</f>
        <v>2.7777777777777776E-2</v>
      </c>
      <c r="R1091" s="2" t="e">
        <f>IF(Table1[[#This Row],[CHECK2]]=0,NA(),
-(1/Table1[[#This Row],[T]])*LN((Table1[[#This Row],[S0]]-Table1[[#This Row],[C]]+Table1[[#This Row],[P]])/Table1[[#This Row],[K]])
)</f>
        <v>#N/A</v>
      </c>
    </row>
    <row r="1092" spans="1:18">
      <c r="A1092">
        <v>1</v>
      </c>
      <c r="B1092" t="s">
        <v>10</v>
      </c>
      <c r="C1092" s="1">
        <v>46161</v>
      </c>
      <c r="D1092" t="s">
        <v>14</v>
      </c>
      <c r="E1092">
        <v>47</v>
      </c>
      <c r="F1092" t="s">
        <v>12</v>
      </c>
      <c r="G1092" t="s">
        <v>13</v>
      </c>
      <c r="H1092" s="1">
        <v>46169</v>
      </c>
      <c r="I1092">
        <v>0.82499999999999996</v>
      </c>
      <c r="J1092">
        <v>0</v>
      </c>
      <c r="K1092">
        <v>1980</v>
      </c>
      <c r="L1092">
        <v>0</v>
      </c>
      <c r="M1092">
        <v>51.894568043012903</v>
      </c>
      <c r="N1092">
        <v>1.929</v>
      </c>
      <c r="O1092">
        <f>(Table1[[#This Row],[P]]&lt;&gt;0)*(Table1[[#This Row],[C]]&lt;&gt;0)</f>
        <v>0</v>
      </c>
      <c r="P1092">
        <f>NETWORKDAYS(Table1[[#This Row],[ts_event]],Table1[[#This Row],[option_expiry_date]])</f>
        <v>7</v>
      </c>
      <c r="Q1092">
        <f>Table1[[#This Row],[Column2]]/252</f>
        <v>2.7777777777777776E-2</v>
      </c>
      <c r="R1092" s="2" t="e">
        <f>IF(Table1[[#This Row],[CHECK2]]=0,NA(),
-(1/Table1[[#This Row],[T]])*LN((Table1[[#This Row],[S0]]-Table1[[#This Row],[C]]+Table1[[#This Row],[P]])/Table1[[#This Row],[K]])
)</f>
        <v>#N/A</v>
      </c>
    </row>
    <row r="1093" spans="1:18">
      <c r="A1093">
        <v>2</v>
      </c>
      <c r="B1093" t="s">
        <v>10</v>
      </c>
      <c r="C1093" s="1">
        <v>46161</v>
      </c>
      <c r="D1093" t="s">
        <v>14</v>
      </c>
      <c r="E1093">
        <v>48</v>
      </c>
      <c r="F1093" t="s">
        <v>12</v>
      </c>
      <c r="G1093" t="s">
        <v>13</v>
      </c>
      <c r="H1093" s="1">
        <v>46169</v>
      </c>
      <c r="I1093">
        <v>1.0529999999999999</v>
      </c>
      <c r="J1093">
        <v>0</v>
      </c>
      <c r="K1093">
        <v>500</v>
      </c>
      <c r="L1093">
        <v>0</v>
      </c>
      <c r="M1093">
        <v>51.894568043012903</v>
      </c>
      <c r="N1093">
        <v>1.929</v>
      </c>
      <c r="O1093">
        <f>(Table1[[#This Row],[P]]&lt;&gt;0)*(Table1[[#This Row],[C]]&lt;&gt;0)</f>
        <v>0</v>
      </c>
      <c r="P1093">
        <f>NETWORKDAYS(Table1[[#This Row],[ts_event]],Table1[[#This Row],[option_expiry_date]])</f>
        <v>7</v>
      </c>
      <c r="Q1093">
        <f>Table1[[#This Row],[Column2]]/252</f>
        <v>2.7777777777777776E-2</v>
      </c>
      <c r="R1093" s="2" t="e">
        <f>IF(Table1[[#This Row],[CHECK2]]=0,NA(),
-(1/Table1[[#This Row],[T]])*LN((Table1[[#This Row],[S0]]-Table1[[#This Row],[C]]+Table1[[#This Row],[P]])/Table1[[#This Row],[K]])
)</f>
        <v>#N/A</v>
      </c>
    </row>
    <row r="1094" spans="1:18">
      <c r="A1094">
        <v>2</v>
      </c>
      <c r="B1094" t="s">
        <v>10</v>
      </c>
      <c r="C1094" s="1">
        <v>46161</v>
      </c>
      <c r="D1094" t="s">
        <v>14</v>
      </c>
      <c r="E1094">
        <v>49</v>
      </c>
      <c r="F1094" t="s">
        <v>12</v>
      </c>
      <c r="G1094" t="s">
        <v>13</v>
      </c>
      <c r="H1094" s="1">
        <v>46169</v>
      </c>
      <c r="I1094">
        <v>1.645</v>
      </c>
      <c r="J1094">
        <v>0</v>
      </c>
      <c r="K1094">
        <v>100</v>
      </c>
      <c r="L1094">
        <v>0</v>
      </c>
      <c r="M1094">
        <v>51.894568043012903</v>
      </c>
      <c r="N1094">
        <v>1.929</v>
      </c>
      <c r="O1094">
        <f>(Table1[[#This Row],[P]]&lt;&gt;0)*(Table1[[#This Row],[C]]&lt;&gt;0)</f>
        <v>0</v>
      </c>
      <c r="P1094">
        <f>NETWORKDAYS(Table1[[#This Row],[ts_event]],Table1[[#This Row],[option_expiry_date]])</f>
        <v>7</v>
      </c>
      <c r="Q1094">
        <f>Table1[[#This Row],[Column2]]/252</f>
        <v>2.7777777777777776E-2</v>
      </c>
      <c r="R1094" s="2" t="e">
        <f>IF(Table1[[#This Row],[CHECK2]]=0,NA(),
-(1/Table1[[#This Row],[T]])*LN((Table1[[#This Row],[S0]]-Table1[[#This Row],[C]]+Table1[[#This Row],[P]])/Table1[[#This Row],[K]])
)</f>
        <v>#N/A</v>
      </c>
    </row>
    <row r="1095" spans="1:18">
      <c r="A1095">
        <v>3</v>
      </c>
      <c r="B1095" t="s">
        <v>10</v>
      </c>
      <c r="C1095" s="1">
        <v>46161</v>
      </c>
      <c r="D1095" t="s">
        <v>14</v>
      </c>
      <c r="E1095">
        <v>50</v>
      </c>
      <c r="F1095" t="s">
        <v>12</v>
      </c>
      <c r="G1095" t="s">
        <v>13</v>
      </c>
      <c r="H1095" s="1">
        <v>46169</v>
      </c>
      <c r="I1095">
        <v>1.83197969543147</v>
      </c>
      <c r="J1095">
        <v>3.085</v>
      </c>
      <c r="K1095">
        <v>985</v>
      </c>
      <c r="L1095">
        <v>600</v>
      </c>
      <c r="M1095">
        <v>51.894568043012903</v>
      </c>
      <c r="N1095">
        <v>1.929</v>
      </c>
      <c r="O1095">
        <f>(Table1[[#This Row],[P]]&lt;&gt;0)*(Table1[[#This Row],[C]]&lt;&gt;0)</f>
        <v>1</v>
      </c>
      <c r="P1095">
        <f>NETWORKDAYS(Table1[[#This Row],[ts_event]],Table1[[#This Row],[option_expiry_date]])</f>
        <v>7</v>
      </c>
      <c r="Q1095">
        <f>Table1[[#This Row],[Column2]]/252</f>
        <v>2.7777777777777776E-2</v>
      </c>
      <c r="R1095" s="2">
        <f>IF(Table1[[#This Row],[CHECK2]]=0,NA(),
-(1/Table1[[#This Row],[T]])*LN((Table1[[#This Row],[S0]]-Table1[[#This Row],[C]]+Table1[[#This Row],[P]])/Table1[[#This Row],[K]])
)</f>
        <v>-0.45897607785950295</v>
      </c>
    </row>
    <row r="1096" spans="1:18">
      <c r="A1096">
        <v>3</v>
      </c>
      <c r="B1096" t="s">
        <v>10</v>
      </c>
      <c r="C1096" s="1">
        <v>46161</v>
      </c>
      <c r="D1096" t="s">
        <v>14</v>
      </c>
      <c r="E1096">
        <v>51</v>
      </c>
      <c r="F1096" t="s">
        <v>12</v>
      </c>
      <c r="G1096" t="s">
        <v>13</v>
      </c>
      <c r="H1096" s="1">
        <v>46169</v>
      </c>
      <c r="I1096">
        <v>2.3759146341463402</v>
      </c>
      <c r="J1096">
        <v>2.54</v>
      </c>
      <c r="K1096">
        <v>2050</v>
      </c>
      <c r="L1096">
        <v>1100</v>
      </c>
      <c r="M1096">
        <v>51.894568043012903</v>
      </c>
      <c r="N1096">
        <v>1.929</v>
      </c>
      <c r="O1096">
        <f>(Table1[[#This Row],[P]]&lt;&gt;0)*(Table1[[#This Row],[C]]&lt;&gt;0)</f>
        <v>1</v>
      </c>
      <c r="P1096">
        <f>NETWORKDAYS(Table1[[#This Row],[ts_event]],Table1[[#This Row],[option_expiry_date]])</f>
        <v>7</v>
      </c>
      <c r="Q1096">
        <f>Table1[[#This Row],[Column2]]/252</f>
        <v>2.7777777777777776E-2</v>
      </c>
      <c r="R1096" s="2">
        <f>IF(Table1[[#This Row],[CHECK2]]=0,NA(),
-(1/Table1[[#This Row],[T]])*LN((Table1[[#This Row],[S0]]-Table1[[#This Row],[C]]+Table1[[#This Row],[P]])/Table1[[#This Row],[K]])
)</f>
        <v>-0.51197695014599698</v>
      </c>
    </row>
    <row r="1097" spans="1:18">
      <c r="A1097">
        <v>4</v>
      </c>
      <c r="B1097" t="s">
        <v>10</v>
      </c>
      <c r="C1097" s="1">
        <v>46161</v>
      </c>
      <c r="D1097" t="s">
        <v>14</v>
      </c>
      <c r="E1097">
        <v>52</v>
      </c>
      <c r="F1097" t="s">
        <v>12</v>
      </c>
      <c r="G1097" t="s">
        <v>13</v>
      </c>
      <c r="H1097" s="1">
        <v>46169</v>
      </c>
      <c r="I1097">
        <v>2.6749999999999998</v>
      </c>
      <c r="J1097">
        <v>2.5858333333333299</v>
      </c>
      <c r="K1097">
        <v>525</v>
      </c>
      <c r="L1097">
        <v>450</v>
      </c>
      <c r="M1097">
        <v>51.894568043012903</v>
      </c>
      <c r="N1097">
        <v>1.929</v>
      </c>
      <c r="O1097">
        <f>(Table1[[#This Row],[P]]&lt;&gt;0)*(Table1[[#This Row],[C]]&lt;&gt;0)</f>
        <v>1</v>
      </c>
      <c r="P1097">
        <f>NETWORKDAYS(Table1[[#This Row],[ts_event]],Table1[[#This Row],[option_expiry_date]])</f>
        <v>7</v>
      </c>
      <c r="Q1097">
        <f>Table1[[#This Row],[Column2]]/252</f>
        <v>2.7777777777777776E-2</v>
      </c>
      <c r="R1097" s="2">
        <f>IF(Table1[[#This Row],[CHECK2]]=0,NA(),
-(1/Table1[[#This Row],[T]])*LN((Table1[[#This Row],[S0]]-Table1[[#This Row],[C]]+Table1[[#This Row],[P]])/Table1[[#This Row],[K]])
)</f>
        <v>1.1262347095843329E-2</v>
      </c>
    </row>
    <row r="1098" spans="1:18">
      <c r="A1098">
        <v>1</v>
      </c>
      <c r="B1098" t="s">
        <v>10</v>
      </c>
      <c r="C1098" s="1">
        <v>46161</v>
      </c>
      <c r="D1098" t="s">
        <v>14</v>
      </c>
      <c r="E1098">
        <v>53</v>
      </c>
      <c r="F1098" t="s">
        <v>12</v>
      </c>
      <c r="G1098" t="s">
        <v>13</v>
      </c>
      <c r="H1098" s="1">
        <v>46169</v>
      </c>
      <c r="I1098">
        <v>0</v>
      </c>
      <c r="J1098">
        <v>2.2000000000000002</v>
      </c>
      <c r="K1098">
        <v>0</v>
      </c>
      <c r="L1098">
        <v>3050</v>
      </c>
      <c r="M1098">
        <v>51.894568043012903</v>
      </c>
      <c r="N1098">
        <v>1.929</v>
      </c>
      <c r="O1098">
        <f>(Table1[[#This Row],[P]]&lt;&gt;0)*(Table1[[#This Row],[C]]&lt;&gt;0)</f>
        <v>0</v>
      </c>
      <c r="P1098">
        <f>NETWORKDAYS(Table1[[#This Row],[ts_event]],Table1[[#This Row],[option_expiry_date]])</f>
        <v>7</v>
      </c>
      <c r="Q1098">
        <f>Table1[[#This Row],[Column2]]/252</f>
        <v>2.7777777777777776E-2</v>
      </c>
      <c r="R1098" s="2" t="e">
        <f>IF(Table1[[#This Row],[CHECK2]]=0,NA(),
-(1/Table1[[#This Row],[T]])*LN((Table1[[#This Row],[S0]]-Table1[[#This Row],[C]]+Table1[[#This Row],[P]])/Table1[[#This Row],[K]])
)</f>
        <v>#N/A</v>
      </c>
    </row>
    <row r="1099" spans="1:18">
      <c r="A1099">
        <v>3</v>
      </c>
      <c r="B1099" t="s">
        <v>10</v>
      </c>
      <c r="C1099" s="1">
        <v>46161</v>
      </c>
      <c r="D1099" t="s">
        <v>14</v>
      </c>
      <c r="E1099">
        <v>55</v>
      </c>
      <c r="F1099" t="s">
        <v>12</v>
      </c>
      <c r="G1099" t="s">
        <v>13</v>
      </c>
      <c r="H1099" s="1">
        <v>46169</v>
      </c>
      <c r="I1099">
        <v>5.05</v>
      </c>
      <c r="J1099">
        <v>1.46402077151335</v>
      </c>
      <c r="K1099">
        <v>500</v>
      </c>
      <c r="L1099">
        <v>3370</v>
      </c>
      <c r="M1099">
        <v>51.894568043012903</v>
      </c>
      <c r="N1099">
        <v>1.929</v>
      </c>
      <c r="O1099">
        <f>(Table1[[#This Row],[P]]&lt;&gt;0)*(Table1[[#This Row],[C]]&lt;&gt;0)</f>
        <v>1</v>
      </c>
      <c r="P1099">
        <f>NETWORKDAYS(Table1[[#This Row],[ts_event]],Table1[[#This Row],[option_expiry_date]])</f>
        <v>7</v>
      </c>
      <c r="Q1099">
        <f>Table1[[#This Row],[Column2]]/252</f>
        <v>2.7777777777777776E-2</v>
      </c>
      <c r="R1099" s="2">
        <f>IF(Table1[[#This Row],[CHECK2]]=0,NA(),
-(1/Table1[[#This Row],[T]])*LN((Table1[[#This Row],[S0]]-Table1[[#This Row],[C]]+Table1[[#This Row],[P]])/Table1[[#This Row],[K]])
)</f>
        <v>-0.31317388084624698</v>
      </c>
    </row>
    <row r="1100" spans="1:18">
      <c r="A1100">
        <v>1</v>
      </c>
      <c r="B1100" t="s">
        <v>10</v>
      </c>
      <c r="C1100" s="1">
        <v>46161</v>
      </c>
      <c r="D1100" t="s">
        <v>14</v>
      </c>
      <c r="E1100">
        <v>57</v>
      </c>
      <c r="F1100" t="s">
        <v>12</v>
      </c>
      <c r="G1100" t="s">
        <v>13</v>
      </c>
      <c r="H1100" s="1">
        <v>46169</v>
      </c>
      <c r="I1100">
        <v>0</v>
      </c>
      <c r="J1100">
        <v>0.86499999999999999</v>
      </c>
      <c r="K1100">
        <v>0</v>
      </c>
      <c r="L1100">
        <v>3000</v>
      </c>
      <c r="M1100">
        <v>51.894568043012903</v>
      </c>
      <c r="N1100">
        <v>1.929</v>
      </c>
      <c r="O1100">
        <f>(Table1[[#This Row],[P]]&lt;&gt;0)*(Table1[[#This Row],[C]]&lt;&gt;0)</f>
        <v>0</v>
      </c>
      <c r="P1100">
        <f>NETWORKDAYS(Table1[[#This Row],[ts_event]],Table1[[#This Row],[option_expiry_date]])</f>
        <v>7</v>
      </c>
      <c r="Q1100">
        <f>Table1[[#This Row],[Column2]]/252</f>
        <v>2.7777777777777776E-2</v>
      </c>
      <c r="R1100" s="2" t="e">
        <f>IF(Table1[[#This Row],[CHECK2]]=0,NA(),
-(1/Table1[[#This Row],[T]])*LN((Table1[[#This Row],[S0]]-Table1[[#This Row],[C]]+Table1[[#This Row],[P]])/Table1[[#This Row],[K]])
)</f>
        <v>#N/A</v>
      </c>
    </row>
    <row r="1101" spans="1:18">
      <c r="A1101">
        <v>1</v>
      </c>
      <c r="B1101" t="s">
        <v>10</v>
      </c>
      <c r="C1101" s="1">
        <v>46161</v>
      </c>
      <c r="D1101" t="s">
        <v>14</v>
      </c>
      <c r="E1101">
        <v>58</v>
      </c>
      <c r="F1101" t="s">
        <v>12</v>
      </c>
      <c r="G1101" t="s">
        <v>13</v>
      </c>
      <c r="H1101" s="1">
        <v>46169</v>
      </c>
      <c r="I1101">
        <v>0</v>
      </c>
      <c r="J1101">
        <v>1</v>
      </c>
      <c r="K1101">
        <v>0</v>
      </c>
      <c r="L1101">
        <v>50</v>
      </c>
      <c r="M1101">
        <v>51.894568043012903</v>
      </c>
      <c r="N1101">
        <v>1.929</v>
      </c>
      <c r="O1101">
        <f>(Table1[[#This Row],[P]]&lt;&gt;0)*(Table1[[#This Row],[C]]&lt;&gt;0)</f>
        <v>0</v>
      </c>
      <c r="P1101">
        <f>NETWORKDAYS(Table1[[#This Row],[ts_event]],Table1[[#This Row],[option_expiry_date]])</f>
        <v>7</v>
      </c>
      <c r="Q1101">
        <f>Table1[[#This Row],[Column2]]/252</f>
        <v>2.7777777777777776E-2</v>
      </c>
      <c r="R1101" s="2" t="e">
        <f>IF(Table1[[#This Row],[CHECK2]]=0,NA(),
-(1/Table1[[#This Row],[T]])*LN((Table1[[#This Row],[S0]]-Table1[[#This Row],[C]]+Table1[[#This Row],[P]])/Table1[[#This Row],[K]])
)</f>
        <v>#N/A</v>
      </c>
    </row>
    <row r="1102" spans="1:18">
      <c r="A1102">
        <v>2</v>
      </c>
      <c r="B1102" t="s">
        <v>10</v>
      </c>
      <c r="C1102" s="1">
        <v>46161</v>
      </c>
      <c r="D1102" t="s">
        <v>14</v>
      </c>
      <c r="E1102">
        <v>60</v>
      </c>
      <c r="F1102" t="s">
        <v>12</v>
      </c>
      <c r="G1102" t="s">
        <v>13</v>
      </c>
      <c r="H1102" s="1">
        <v>46169</v>
      </c>
      <c r="I1102">
        <v>0</v>
      </c>
      <c r="J1102">
        <v>0.64952267303102595</v>
      </c>
      <c r="K1102">
        <v>0</v>
      </c>
      <c r="L1102">
        <v>2095</v>
      </c>
      <c r="M1102">
        <v>51.894568043012903</v>
      </c>
      <c r="N1102">
        <v>1.929</v>
      </c>
      <c r="O1102">
        <f>(Table1[[#This Row],[P]]&lt;&gt;0)*(Table1[[#This Row],[C]]&lt;&gt;0)</f>
        <v>0</v>
      </c>
      <c r="P1102">
        <f>NETWORKDAYS(Table1[[#This Row],[ts_event]],Table1[[#This Row],[option_expiry_date]])</f>
        <v>7</v>
      </c>
      <c r="Q1102">
        <f>Table1[[#This Row],[Column2]]/252</f>
        <v>2.7777777777777776E-2</v>
      </c>
      <c r="R1102" s="2" t="e">
        <f>IF(Table1[[#This Row],[CHECK2]]=0,NA(),
-(1/Table1[[#This Row],[T]])*LN((Table1[[#This Row],[S0]]-Table1[[#This Row],[C]]+Table1[[#This Row],[P]])/Table1[[#This Row],[K]])
)</f>
        <v>#N/A</v>
      </c>
    </row>
    <row r="1103" spans="1:18">
      <c r="A1103">
        <v>1</v>
      </c>
      <c r="B1103" t="s">
        <v>10</v>
      </c>
      <c r="C1103" s="1">
        <v>46161</v>
      </c>
      <c r="D1103" t="s">
        <v>14</v>
      </c>
      <c r="E1103">
        <v>63</v>
      </c>
      <c r="F1103" t="s">
        <v>12</v>
      </c>
      <c r="G1103" t="s">
        <v>13</v>
      </c>
      <c r="H1103" s="1">
        <v>46169</v>
      </c>
      <c r="I1103">
        <v>0</v>
      </c>
      <c r="J1103">
        <v>0.35</v>
      </c>
      <c r="K1103">
        <v>0</v>
      </c>
      <c r="L1103">
        <v>55</v>
      </c>
      <c r="M1103">
        <v>51.894568043012903</v>
      </c>
      <c r="N1103">
        <v>1.929</v>
      </c>
      <c r="O1103">
        <f>(Table1[[#This Row],[P]]&lt;&gt;0)*(Table1[[#This Row],[C]]&lt;&gt;0)</f>
        <v>0</v>
      </c>
      <c r="P1103">
        <f>NETWORKDAYS(Table1[[#This Row],[ts_event]],Table1[[#This Row],[option_expiry_date]])</f>
        <v>7</v>
      </c>
      <c r="Q1103">
        <f>Table1[[#This Row],[Column2]]/252</f>
        <v>2.7777777777777776E-2</v>
      </c>
      <c r="R1103" s="2" t="e">
        <f>IF(Table1[[#This Row],[CHECK2]]=0,NA(),
-(1/Table1[[#This Row],[T]])*LN((Table1[[#This Row],[S0]]-Table1[[#This Row],[C]]+Table1[[#This Row],[P]])/Table1[[#This Row],[K]])
)</f>
        <v>#N/A</v>
      </c>
    </row>
    <row r="1104" spans="1:18">
      <c r="A1104">
        <v>1</v>
      </c>
      <c r="B1104" t="s">
        <v>10</v>
      </c>
      <c r="C1104" s="1">
        <v>46161</v>
      </c>
      <c r="D1104" t="s">
        <v>14</v>
      </c>
      <c r="E1104">
        <v>65</v>
      </c>
      <c r="F1104" t="s">
        <v>12</v>
      </c>
      <c r="G1104" t="s">
        <v>13</v>
      </c>
      <c r="H1104" s="1">
        <v>46169</v>
      </c>
      <c r="I1104">
        <v>0</v>
      </c>
      <c r="J1104">
        <v>0.4</v>
      </c>
      <c r="K1104">
        <v>0</v>
      </c>
      <c r="L1104">
        <v>800</v>
      </c>
      <c r="M1104">
        <v>51.894568043012903</v>
      </c>
      <c r="N1104">
        <v>1.929</v>
      </c>
      <c r="O1104">
        <f>(Table1[[#This Row],[P]]&lt;&gt;0)*(Table1[[#This Row],[C]]&lt;&gt;0)</f>
        <v>0</v>
      </c>
      <c r="P1104">
        <f>NETWORKDAYS(Table1[[#This Row],[ts_event]],Table1[[#This Row],[option_expiry_date]])</f>
        <v>7</v>
      </c>
      <c r="Q1104">
        <f>Table1[[#This Row],[Column2]]/252</f>
        <v>2.7777777777777776E-2</v>
      </c>
      <c r="R1104" s="2" t="e">
        <f>IF(Table1[[#This Row],[CHECK2]]=0,NA(),
-(1/Table1[[#This Row],[T]])*LN((Table1[[#This Row],[S0]]-Table1[[#This Row],[C]]+Table1[[#This Row],[P]])/Table1[[#This Row],[K]])
)</f>
        <v>#N/A</v>
      </c>
    </row>
    <row r="1105" spans="1:18">
      <c r="A1105">
        <v>2</v>
      </c>
      <c r="B1105" t="s">
        <v>10</v>
      </c>
      <c r="C1105" s="1">
        <v>46161</v>
      </c>
      <c r="D1105" t="s">
        <v>14</v>
      </c>
      <c r="E1105">
        <v>70</v>
      </c>
      <c r="F1105" t="s">
        <v>12</v>
      </c>
      <c r="G1105" t="s">
        <v>13</v>
      </c>
      <c r="H1105" s="1">
        <v>46169</v>
      </c>
      <c r="I1105">
        <v>0</v>
      </c>
      <c r="J1105">
        <v>0.18812499999999999</v>
      </c>
      <c r="K1105">
        <v>0</v>
      </c>
      <c r="L1105">
        <v>800</v>
      </c>
      <c r="M1105">
        <v>51.894568043012903</v>
      </c>
      <c r="N1105">
        <v>1.929</v>
      </c>
      <c r="O1105">
        <f>(Table1[[#This Row],[P]]&lt;&gt;0)*(Table1[[#This Row],[C]]&lt;&gt;0)</f>
        <v>0</v>
      </c>
      <c r="P1105">
        <f>NETWORKDAYS(Table1[[#This Row],[ts_event]],Table1[[#This Row],[option_expiry_date]])</f>
        <v>7</v>
      </c>
      <c r="Q1105">
        <f>Table1[[#This Row],[Column2]]/252</f>
        <v>2.7777777777777776E-2</v>
      </c>
      <c r="R1105" s="2" t="e">
        <f>IF(Table1[[#This Row],[CHECK2]]=0,NA(),
-(1/Table1[[#This Row],[T]])*LN((Table1[[#This Row],[S0]]-Table1[[#This Row],[C]]+Table1[[#This Row],[P]])/Table1[[#This Row],[K]])
)</f>
        <v>#N/A</v>
      </c>
    </row>
    <row r="1106" spans="1:18">
      <c r="A1106">
        <v>1</v>
      </c>
      <c r="B1106" t="s">
        <v>10</v>
      </c>
      <c r="C1106" s="1">
        <v>46161</v>
      </c>
      <c r="D1106" t="s">
        <v>14</v>
      </c>
      <c r="E1106">
        <v>80</v>
      </c>
      <c r="F1106" t="s">
        <v>12</v>
      </c>
      <c r="G1106" t="s">
        <v>13</v>
      </c>
      <c r="H1106" s="1">
        <v>46169</v>
      </c>
      <c r="I1106">
        <v>0</v>
      </c>
      <c r="J1106">
        <v>0.12</v>
      </c>
      <c r="K1106">
        <v>0</v>
      </c>
      <c r="L1106">
        <v>500</v>
      </c>
      <c r="M1106">
        <v>51.894568043012903</v>
      </c>
      <c r="N1106">
        <v>1.929</v>
      </c>
      <c r="O1106">
        <f>(Table1[[#This Row],[P]]&lt;&gt;0)*(Table1[[#This Row],[C]]&lt;&gt;0)</f>
        <v>0</v>
      </c>
      <c r="P1106">
        <f>NETWORKDAYS(Table1[[#This Row],[ts_event]],Table1[[#This Row],[option_expiry_date]])</f>
        <v>7</v>
      </c>
      <c r="Q1106">
        <f>Table1[[#This Row],[Column2]]/252</f>
        <v>2.7777777777777776E-2</v>
      </c>
      <c r="R1106" s="2" t="e">
        <f>IF(Table1[[#This Row],[CHECK2]]=0,NA(),
-(1/Table1[[#This Row],[T]])*LN((Table1[[#This Row],[S0]]-Table1[[#This Row],[C]]+Table1[[#This Row],[P]])/Table1[[#This Row],[K]])
)</f>
        <v>#N/A</v>
      </c>
    </row>
    <row r="1107" spans="1:18">
      <c r="A1107">
        <v>1</v>
      </c>
      <c r="B1107" t="s">
        <v>10</v>
      </c>
      <c r="C1107" s="1">
        <v>46161</v>
      </c>
      <c r="D1107" t="s">
        <v>15</v>
      </c>
      <c r="E1107">
        <v>33</v>
      </c>
      <c r="F1107" t="s">
        <v>12</v>
      </c>
      <c r="G1107" t="s">
        <v>13</v>
      </c>
      <c r="H1107" s="1">
        <v>46199</v>
      </c>
      <c r="I1107">
        <v>0.20499999999999999</v>
      </c>
      <c r="J1107">
        <v>0</v>
      </c>
      <c r="K1107">
        <v>10</v>
      </c>
      <c r="L1107">
        <v>0</v>
      </c>
      <c r="M1107">
        <v>52.043788590867898</v>
      </c>
      <c r="N1107">
        <v>1.929</v>
      </c>
      <c r="O1107">
        <f>(Table1[[#This Row],[P]]&lt;&gt;0)*(Table1[[#This Row],[C]]&lt;&gt;0)</f>
        <v>0</v>
      </c>
      <c r="P1107">
        <f>NETWORKDAYS(Table1[[#This Row],[ts_event]],Table1[[#This Row],[option_expiry_date]])</f>
        <v>29</v>
      </c>
      <c r="Q1107">
        <f>Table1[[#This Row],[Column2]]/252</f>
        <v>0.11507936507936507</v>
      </c>
      <c r="R1107" s="2" t="e">
        <f>IF(Table1[[#This Row],[CHECK2]]=0,NA(),
-(1/Table1[[#This Row],[T]])*LN((Table1[[#This Row],[S0]]-Table1[[#This Row],[C]]+Table1[[#This Row],[P]])/Table1[[#This Row],[K]])
)</f>
        <v>#N/A</v>
      </c>
    </row>
    <row r="1108" spans="1:18">
      <c r="A1108">
        <v>1</v>
      </c>
      <c r="B1108" t="s">
        <v>10</v>
      </c>
      <c r="C1108" s="1">
        <v>46161</v>
      </c>
      <c r="D1108" t="s">
        <v>15</v>
      </c>
      <c r="E1108">
        <v>35</v>
      </c>
      <c r="F1108" t="s">
        <v>12</v>
      </c>
      <c r="G1108" t="s">
        <v>13</v>
      </c>
      <c r="H1108" s="1">
        <v>46199</v>
      </c>
      <c r="I1108">
        <v>0.3</v>
      </c>
      <c r="J1108">
        <v>0</v>
      </c>
      <c r="K1108">
        <v>900</v>
      </c>
      <c r="L1108">
        <v>0</v>
      </c>
      <c r="M1108">
        <v>52.043788590867898</v>
      </c>
      <c r="N1108">
        <v>1.929</v>
      </c>
      <c r="O1108">
        <f>(Table1[[#This Row],[P]]&lt;&gt;0)*(Table1[[#This Row],[C]]&lt;&gt;0)</f>
        <v>0</v>
      </c>
      <c r="P1108">
        <f>NETWORKDAYS(Table1[[#This Row],[ts_event]],Table1[[#This Row],[option_expiry_date]])</f>
        <v>29</v>
      </c>
      <c r="Q1108">
        <f>Table1[[#This Row],[Column2]]/252</f>
        <v>0.11507936507936507</v>
      </c>
      <c r="R1108" s="2" t="e">
        <f>IF(Table1[[#This Row],[CHECK2]]=0,NA(),
-(1/Table1[[#This Row],[T]])*LN((Table1[[#This Row],[S0]]-Table1[[#This Row],[C]]+Table1[[#This Row],[P]])/Table1[[#This Row],[K]])
)</f>
        <v>#N/A</v>
      </c>
    </row>
    <row r="1109" spans="1:18">
      <c r="A1109">
        <v>1</v>
      </c>
      <c r="B1109" t="s">
        <v>10</v>
      </c>
      <c r="C1109" s="1">
        <v>46161</v>
      </c>
      <c r="D1109" t="s">
        <v>15</v>
      </c>
      <c r="E1109">
        <v>38</v>
      </c>
      <c r="F1109" t="s">
        <v>12</v>
      </c>
      <c r="G1109" t="s">
        <v>13</v>
      </c>
      <c r="H1109" s="1">
        <v>46199</v>
      </c>
      <c r="I1109">
        <v>0.5</v>
      </c>
      <c r="J1109">
        <v>0</v>
      </c>
      <c r="K1109">
        <v>300</v>
      </c>
      <c r="L1109">
        <v>0</v>
      </c>
      <c r="M1109">
        <v>52.043788590867898</v>
      </c>
      <c r="N1109">
        <v>1.929</v>
      </c>
      <c r="O1109">
        <f>(Table1[[#This Row],[P]]&lt;&gt;0)*(Table1[[#This Row],[C]]&lt;&gt;0)</f>
        <v>0</v>
      </c>
      <c r="P1109">
        <f>NETWORKDAYS(Table1[[#This Row],[ts_event]],Table1[[#This Row],[option_expiry_date]])</f>
        <v>29</v>
      </c>
      <c r="Q1109">
        <f>Table1[[#This Row],[Column2]]/252</f>
        <v>0.11507936507936507</v>
      </c>
      <c r="R1109" s="2" t="e">
        <f>IF(Table1[[#This Row],[CHECK2]]=0,NA(),
-(1/Table1[[#This Row],[T]])*LN((Table1[[#This Row],[S0]]-Table1[[#This Row],[C]]+Table1[[#This Row],[P]])/Table1[[#This Row],[K]])
)</f>
        <v>#N/A</v>
      </c>
    </row>
    <row r="1110" spans="1:18">
      <c r="A1110">
        <v>2</v>
      </c>
      <c r="B1110" t="s">
        <v>10</v>
      </c>
      <c r="C1110" s="1">
        <v>46161</v>
      </c>
      <c r="D1110" t="s">
        <v>15</v>
      </c>
      <c r="E1110">
        <v>40</v>
      </c>
      <c r="F1110" t="s">
        <v>12</v>
      </c>
      <c r="G1110" t="s">
        <v>13</v>
      </c>
      <c r="H1110" s="1">
        <v>46199</v>
      </c>
      <c r="I1110">
        <v>0.92356104651162796</v>
      </c>
      <c r="J1110">
        <v>0</v>
      </c>
      <c r="K1110">
        <v>1720</v>
      </c>
      <c r="L1110">
        <v>0</v>
      </c>
      <c r="M1110">
        <v>52.043788590867898</v>
      </c>
      <c r="N1110">
        <v>1.929</v>
      </c>
      <c r="O1110">
        <f>(Table1[[#This Row],[P]]&lt;&gt;0)*(Table1[[#This Row],[C]]&lt;&gt;0)</f>
        <v>0</v>
      </c>
      <c r="P1110">
        <f>NETWORKDAYS(Table1[[#This Row],[ts_event]],Table1[[#This Row],[option_expiry_date]])</f>
        <v>29</v>
      </c>
      <c r="Q1110">
        <f>Table1[[#This Row],[Column2]]/252</f>
        <v>0.11507936507936507</v>
      </c>
      <c r="R1110" s="2" t="e">
        <f>IF(Table1[[#This Row],[CHECK2]]=0,NA(),
-(1/Table1[[#This Row],[T]])*LN((Table1[[#This Row],[S0]]-Table1[[#This Row],[C]]+Table1[[#This Row],[P]])/Table1[[#This Row],[K]])
)</f>
        <v>#N/A</v>
      </c>
    </row>
    <row r="1111" spans="1:18">
      <c r="A1111">
        <v>1</v>
      </c>
      <c r="B1111" t="s">
        <v>10</v>
      </c>
      <c r="C1111" s="1">
        <v>46161</v>
      </c>
      <c r="D1111" t="s">
        <v>15</v>
      </c>
      <c r="E1111">
        <v>42</v>
      </c>
      <c r="F1111" t="s">
        <v>12</v>
      </c>
      <c r="G1111" t="s">
        <v>13</v>
      </c>
      <c r="H1111" s="1">
        <v>46199</v>
      </c>
      <c r="I1111">
        <v>1.35</v>
      </c>
      <c r="J1111">
        <v>0</v>
      </c>
      <c r="K1111">
        <v>350</v>
      </c>
      <c r="L1111">
        <v>0</v>
      </c>
      <c r="M1111">
        <v>52.043788590867898</v>
      </c>
      <c r="N1111">
        <v>1.929</v>
      </c>
      <c r="O1111">
        <f>(Table1[[#This Row],[P]]&lt;&gt;0)*(Table1[[#This Row],[C]]&lt;&gt;0)</f>
        <v>0</v>
      </c>
      <c r="P1111">
        <f>NETWORKDAYS(Table1[[#This Row],[ts_event]],Table1[[#This Row],[option_expiry_date]])</f>
        <v>29</v>
      </c>
      <c r="Q1111">
        <f>Table1[[#This Row],[Column2]]/252</f>
        <v>0.11507936507936507</v>
      </c>
      <c r="R1111" s="2" t="e">
        <f>IF(Table1[[#This Row],[CHECK2]]=0,NA(),
-(1/Table1[[#This Row],[T]])*LN((Table1[[#This Row],[S0]]-Table1[[#This Row],[C]]+Table1[[#This Row],[P]])/Table1[[#This Row],[K]])
)</f>
        <v>#N/A</v>
      </c>
    </row>
    <row r="1112" spans="1:18">
      <c r="A1112">
        <v>1</v>
      </c>
      <c r="B1112" t="s">
        <v>10</v>
      </c>
      <c r="C1112" s="1">
        <v>46161</v>
      </c>
      <c r="D1112" t="s">
        <v>15</v>
      </c>
      <c r="E1112">
        <v>45</v>
      </c>
      <c r="F1112" t="s">
        <v>12</v>
      </c>
      <c r="G1112" t="s">
        <v>13</v>
      </c>
      <c r="H1112" s="1">
        <v>46199</v>
      </c>
      <c r="I1112">
        <v>2.31</v>
      </c>
      <c r="J1112">
        <v>0</v>
      </c>
      <c r="K1112">
        <v>1145</v>
      </c>
      <c r="L1112">
        <v>0</v>
      </c>
      <c r="M1112">
        <v>52.043788590867898</v>
      </c>
      <c r="N1112">
        <v>1.929</v>
      </c>
      <c r="O1112">
        <f>(Table1[[#This Row],[P]]&lt;&gt;0)*(Table1[[#This Row],[C]]&lt;&gt;0)</f>
        <v>0</v>
      </c>
      <c r="P1112">
        <f>NETWORKDAYS(Table1[[#This Row],[ts_event]],Table1[[#This Row],[option_expiry_date]])</f>
        <v>29</v>
      </c>
      <c r="Q1112">
        <f>Table1[[#This Row],[Column2]]/252</f>
        <v>0.11507936507936507</v>
      </c>
      <c r="R1112" s="2" t="e">
        <f>IF(Table1[[#This Row],[CHECK2]]=0,NA(),
-(1/Table1[[#This Row],[T]])*LN((Table1[[#This Row],[S0]]-Table1[[#This Row],[C]]+Table1[[#This Row],[P]])/Table1[[#This Row],[K]])
)</f>
        <v>#N/A</v>
      </c>
    </row>
    <row r="1113" spans="1:18">
      <c r="A1113">
        <v>3</v>
      </c>
      <c r="B1113" t="s">
        <v>10</v>
      </c>
      <c r="C1113" s="1">
        <v>46161</v>
      </c>
      <c r="D1113" t="s">
        <v>15</v>
      </c>
      <c r="E1113">
        <v>50</v>
      </c>
      <c r="F1113" t="s">
        <v>12</v>
      </c>
      <c r="G1113" t="s">
        <v>13</v>
      </c>
      <c r="H1113" s="1">
        <v>46199</v>
      </c>
      <c r="I1113">
        <v>5.0140000000000002</v>
      </c>
      <c r="J1113">
        <v>6.22</v>
      </c>
      <c r="K1113">
        <v>250</v>
      </c>
      <c r="L1113">
        <v>2785</v>
      </c>
      <c r="M1113">
        <v>52.043788590867898</v>
      </c>
      <c r="N1113">
        <v>1.929</v>
      </c>
      <c r="O1113">
        <f>(Table1[[#This Row],[P]]&lt;&gt;0)*(Table1[[#This Row],[C]]&lt;&gt;0)</f>
        <v>1</v>
      </c>
      <c r="P1113">
        <f>NETWORKDAYS(Table1[[#This Row],[ts_event]],Table1[[#This Row],[option_expiry_date]])</f>
        <v>29</v>
      </c>
      <c r="Q1113">
        <f>Table1[[#This Row],[Column2]]/252</f>
        <v>0.11507936507936507</v>
      </c>
      <c r="R1113" s="2">
        <f>IF(Table1[[#This Row],[CHECK2]]=0,NA(),
-(1/Table1[[#This Row],[T]])*LN((Table1[[#This Row],[S0]]-Table1[[#This Row],[C]]+Table1[[#This Row],[P]])/Table1[[#This Row],[K]])
)</f>
        <v>-0.14439550052887259</v>
      </c>
    </row>
    <row r="1114" spans="1:18">
      <c r="A1114">
        <v>1</v>
      </c>
      <c r="B1114" t="s">
        <v>10</v>
      </c>
      <c r="C1114" s="1">
        <v>46161</v>
      </c>
      <c r="D1114" t="s">
        <v>15</v>
      </c>
      <c r="E1114">
        <v>55</v>
      </c>
      <c r="F1114" t="s">
        <v>12</v>
      </c>
      <c r="G1114" t="s">
        <v>13</v>
      </c>
      <c r="H1114" s="1">
        <v>46199</v>
      </c>
      <c r="I1114">
        <v>0</v>
      </c>
      <c r="J1114">
        <v>4.9000000000000004</v>
      </c>
      <c r="K1114">
        <v>0</v>
      </c>
      <c r="L1114">
        <v>6985</v>
      </c>
      <c r="M1114">
        <v>52.043788590867898</v>
      </c>
      <c r="N1114">
        <v>1.929</v>
      </c>
      <c r="O1114">
        <f>(Table1[[#This Row],[P]]&lt;&gt;0)*(Table1[[#This Row],[C]]&lt;&gt;0)</f>
        <v>0</v>
      </c>
      <c r="P1114">
        <f>NETWORKDAYS(Table1[[#This Row],[ts_event]],Table1[[#This Row],[option_expiry_date]])</f>
        <v>29</v>
      </c>
      <c r="Q1114">
        <f>Table1[[#This Row],[Column2]]/252</f>
        <v>0.11507936507936507</v>
      </c>
      <c r="R1114" s="2" t="e">
        <f>IF(Table1[[#This Row],[CHECK2]]=0,NA(),
-(1/Table1[[#This Row],[T]])*LN((Table1[[#This Row],[S0]]-Table1[[#This Row],[C]]+Table1[[#This Row],[P]])/Table1[[#This Row],[K]])
)</f>
        <v>#N/A</v>
      </c>
    </row>
    <row r="1115" spans="1:18">
      <c r="A1115">
        <v>1</v>
      </c>
      <c r="B1115" t="s">
        <v>10</v>
      </c>
      <c r="C1115" s="1">
        <v>46161</v>
      </c>
      <c r="D1115" t="s">
        <v>15</v>
      </c>
      <c r="E1115">
        <v>56</v>
      </c>
      <c r="F1115" t="s">
        <v>12</v>
      </c>
      <c r="G1115" t="s">
        <v>13</v>
      </c>
      <c r="H1115" s="1">
        <v>46199</v>
      </c>
      <c r="I1115">
        <v>0</v>
      </c>
      <c r="J1115">
        <v>4.55</v>
      </c>
      <c r="K1115">
        <v>0</v>
      </c>
      <c r="L1115">
        <v>950</v>
      </c>
      <c r="M1115">
        <v>52.043788590867898</v>
      </c>
      <c r="N1115">
        <v>1.929</v>
      </c>
      <c r="O1115">
        <f>(Table1[[#This Row],[P]]&lt;&gt;0)*(Table1[[#This Row],[C]]&lt;&gt;0)</f>
        <v>0</v>
      </c>
      <c r="P1115">
        <f>NETWORKDAYS(Table1[[#This Row],[ts_event]],Table1[[#This Row],[option_expiry_date]])</f>
        <v>29</v>
      </c>
      <c r="Q1115">
        <f>Table1[[#This Row],[Column2]]/252</f>
        <v>0.11507936507936507</v>
      </c>
      <c r="R1115" s="2" t="e">
        <f>IF(Table1[[#This Row],[CHECK2]]=0,NA(),
-(1/Table1[[#This Row],[T]])*LN((Table1[[#This Row],[S0]]-Table1[[#This Row],[C]]+Table1[[#This Row],[P]])/Table1[[#This Row],[K]])
)</f>
        <v>#N/A</v>
      </c>
    </row>
    <row r="1116" spans="1:18">
      <c r="A1116">
        <v>2</v>
      </c>
      <c r="B1116" t="s">
        <v>10</v>
      </c>
      <c r="C1116" s="1">
        <v>46161</v>
      </c>
      <c r="D1116" t="s">
        <v>15</v>
      </c>
      <c r="E1116">
        <v>60</v>
      </c>
      <c r="F1116" t="s">
        <v>12</v>
      </c>
      <c r="G1116" t="s">
        <v>13</v>
      </c>
      <c r="H1116" s="1">
        <v>46199</v>
      </c>
      <c r="I1116">
        <v>0</v>
      </c>
      <c r="J1116">
        <v>3.6487179487179402</v>
      </c>
      <c r="K1116">
        <v>0</v>
      </c>
      <c r="L1116">
        <v>975</v>
      </c>
      <c r="M1116">
        <v>52.043788590867898</v>
      </c>
      <c r="N1116">
        <v>1.929</v>
      </c>
      <c r="O1116">
        <f>(Table1[[#This Row],[P]]&lt;&gt;0)*(Table1[[#This Row],[C]]&lt;&gt;0)</f>
        <v>0</v>
      </c>
      <c r="P1116">
        <f>NETWORKDAYS(Table1[[#This Row],[ts_event]],Table1[[#This Row],[option_expiry_date]])</f>
        <v>29</v>
      </c>
      <c r="Q1116">
        <f>Table1[[#This Row],[Column2]]/252</f>
        <v>0.11507936507936507</v>
      </c>
      <c r="R1116" s="2" t="e">
        <f>IF(Table1[[#This Row],[CHECK2]]=0,NA(),
-(1/Table1[[#This Row],[T]])*LN((Table1[[#This Row],[S0]]-Table1[[#This Row],[C]]+Table1[[#This Row],[P]])/Table1[[#This Row],[K]])
)</f>
        <v>#N/A</v>
      </c>
    </row>
    <row r="1117" spans="1:18">
      <c r="A1117">
        <v>1</v>
      </c>
      <c r="B1117" t="s">
        <v>10</v>
      </c>
      <c r="C1117" s="1">
        <v>46161</v>
      </c>
      <c r="D1117" t="s">
        <v>15</v>
      </c>
      <c r="E1117">
        <v>65</v>
      </c>
      <c r="F1117" t="s">
        <v>12</v>
      </c>
      <c r="G1117" t="s">
        <v>13</v>
      </c>
      <c r="H1117" s="1">
        <v>46199</v>
      </c>
      <c r="I1117">
        <v>0</v>
      </c>
      <c r="J1117">
        <v>2.81</v>
      </c>
      <c r="K1117">
        <v>0</v>
      </c>
      <c r="L1117">
        <v>4445</v>
      </c>
      <c r="M1117">
        <v>52.043788590867898</v>
      </c>
      <c r="N1117">
        <v>1.929</v>
      </c>
      <c r="O1117">
        <f>(Table1[[#This Row],[P]]&lt;&gt;0)*(Table1[[#This Row],[C]]&lt;&gt;0)</f>
        <v>0</v>
      </c>
      <c r="P1117">
        <f>NETWORKDAYS(Table1[[#This Row],[ts_event]],Table1[[#This Row],[option_expiry_date]])</f>
        <v>29</v>
      </c>
      <c r="Q1117">
        <f>Table1[[#This Row],[Column2]]/252</f>
        <v>0.11507936507936507</v>
      </c>
      <c r="R1117" s="2" t="e">
        <f>IF(Table1[[#This Row],[CHECK2]]=0,NA(),
-(1/Table1[[#This Row],[T]])*LN((Table1[[#This Row],[S0]]-Table1[[#This Row],[C]]+Table1[[#This Row],[P]])/Table1[[#This Row],[K]])
)</f>
        <v>#N/A</v>
      </c>
    </row>
    <row r="1118" spans="1:18">
      <c r="A1118">
        <v>1</v>
      </c>
      <c r="B1118" t="s">
        <v>10</v>
      </c>
      <c r="C1118" s="1">
        <v>46161</v>
      </c>
      <c r="D1118" t="s">
        <v>15</v>
      </c>
      <c r="E1118">
        <v>66</v>
      </c>
      <c r="F1118" t="s">
        <v>12</v>
      </c>
      <c r="G1118" t="s">
        <v>13</v>
      </c>
      <c r="H1118" s="1">
        <v>46199</v>
      </c>
      <c r="I1118">
        <v>0</v>
      </c>
      <c r="J1118">
        <v>2.5</v>
      </c>
      <c r="K1118">
        <v>0</v>
      </c>
      <c r="L1118">
        <v>950</v>
      </c>
      <c r="M1118">
        <v>52.043788590867898</v>
      </c>
      <c r="N1118">
        <v>1.929</v>
      </c>
      <c r="O1118">
        <f>(Table1[[#This Row],[P]]&lt;&gt;0)*(Table1[[#This Row],[C]]&lt;&gt;0)</f>
        <v>0</v>
      </c>
      <c r="P1118">
        <f>NETWORKDAYS(Table1[[#This Row],[ts_event]],Table1[[#This Row],[option_expiry_date]])</f>
        <v>29</v>
      </c>
      <c r="Q1118">
        <f>Table1[[#This Row],[Column2]]/252</f>
        <v>0.11507936507936507</v>
      </c>
      <c r="R1118" s="2" t="e">
        <f>IF(Table1[[#This Row],[CHECK2]]=0,NA(),
-(1/Table1[[#This Row],[T]])*LN((Table1[[#This Row],[S0]]-Table1[[#This Row],[C]]+Table1[[#This Row],[P]])/Table1[[#This Row],[K]])
)</f>
        <v>#N/A</v>
      </c>
    </row>
    <row r="1119" spans="1:18">
      <c r="A1119">
        <v>2</v>
      </c>
      <c r="B1119" t="s">
        <v>10</v>
      </c>
      <c r="C1119" s="1">
        <v>46161</v>
      </c>
      <c r="D1119" t="s">
        <v>15</v>
      </c>
      <c r="E1119">
        <v>70</v>
      </c>
      <c r="F1119" t="s">
        <v>12</v>
      </c>
      <c r="G1119" t="s">
        <v>13</v>
      </c>
      <c r="H1119" s="1">
        <v>46199</v>
      </c>
      <c r="I1119">
        <v>0</v>
      </c>
      <c r="J1119">
        <v>2.1209039548022601</v>
      </c>
      <c r="K1119">
        <v>0</v>
      </c>
      <c r="L1119">
        <v>885</v>
      </c>
      <c r="M1119">
        <v>52.043788590867898</v>
      </c>
      <c r="N1119">
        <v>1.929</v>
      </c>
      <c r="O1119">
        <f>(Table1[[#This Row],[P]]&lt;&gt;0)*(Table1[[#This Row],[C]]&lt;&gt;0)</f>
        <v>0</v>
      </c>
      <c r="P1119">
        <f>NETWORKDAYS(Table1[[#This Row],[ts_event]],Table1[[#This Row],[option_expiry_date]])</f>
        <v>29</v>
      </c>
      <c r="Q1119">
        <f>Table1[[#This Row],[Column2]]/252</f>
        <v>0.11507936507936507</v>
      </c>
      <c r="R1119" s="2" t="e">
        <f>IF(Table1[[#This Row],[CHECK2]]=0,NA(),
-(1/Table1[[#This Row],[T]])*LN((Table1[[#This Row],[S0]]-Table1[[#This Row],[C]]+Table1[[#This Row],[P]])/Table1[[#This Row],[K]])
)</f>
        <v>#N/A</v>
      </c>
    </row>
    <row r="1120" spans="1:18">
      <c r="A1120">
        <v>1</v>
      </c>
      <c r="B1120" t="s">
        <v>10</v>
      </c>
      <c r="C1120" s="1">
        <v>46161</v>
      </c>
      <c r="D1120" t="s">
        <v>15</v>
      </c>
      <c r="E1120">
        <v>75</v>
      </c>
      <c r="F1120" t="s">
        <v>12</v>
      </c>
      <c r="G1120" t="s">
        <v>13</v>
      </c>
      <c r="H1120" s="1">
        <v>46199</v>
      </c>
      <c r="I1120">
        <v>0</v>
      </c>
      <c r="J1120">
        <v>1.62</v>
      </c>
      <c r="K1120">
        <v>0</v>
      </c>
      <c r="L1120">
        <v>5</v>
      </c>
      <c r="M1120">
        <v>52.043788590867898</v>
      </c>
      <c r="N1120">
        <v>1.929</v>
      </c>
      <c r="O1120">
        <f>(Table1[[#This Row],[P]]&lt;&gt;0)*(Table1[[#This Row],[C]]&lt;&gt;0)</f>
        <v>0</v>
      </c>
      <c r="P1120">
        <f>NETWORKDAYS(Table1[[#This Row],[ts_event]],Table1[[#This Row],[option_expiry_date]])</f>
        <v>29</v>
      </c>
      <c r="Q1120">
        <f>Table1[[#This Row],[Column2]]/252</f>
        <v>0.11507936507936507</v>
      </c>
      <c r="R1120" s="2" t="e">
        <f>IF(Table1[[#This Row],[CHECK2]]=0,NA(),
-(1/Table1[[#This Row],[T]])*LN((Table1[[#This Row],[S0]]-Table1[[#This Row],[C]]+Table1[[#This Row],[P]])/Table1[[#This Row],[K]])
)</f>
        <v>#N/A</v>
      </c>
    </row>
    <row r="1121" spans="1:18">
      <c r="A1121">
        <v>1</v>
      </c>
      <c r="B1121" t="s">
        <v>10</v>
      </c>
      <c r="C1121" s="1">
        <v>46161</v>
      </c>
      <c r="D1121" t="s">
        <v>15</v>
      </c>
      <c r="E1121">
        <v>85</v>
      </c>
      <c r="F1121" t="s">
        <v>12</v>
      </c>
      <c r="G1121" t="s">
        <v>13</v>
      </c>
      <c r="H1121" s="1">
        <v>46199</v>
      </c>
      <c r="I1121">
        <v>0</v>
      </c>
      <c r="J1121">
        <v>1.08</v>
      </c>
      <c r="K1121">
        <v>0</v>
      </c>
      <c r="L1121">
        <v>625</v>
      </c>
      <c r="M1121">
        <v>52.043788590867898</v>
      </c>
      <c r="N1121">
        <v>1.929</v>
      </c>
      <c r="O1121">
        <f>(Table1[[#This Row],[P]]&lt;&gt;0)*(Table1[[#This Row],[C]]&lt;&gt;0)</f>
        <v>0</v>
      </c>
      <c r="P1121">
        <f>NETWORKDAYS(Table1[[#This Row],[ts_event]],Table1[[#This Row],[option_expiry_date]])</f>
        <v>29</v>
      </c>
      <c r="Q1121">
        <f>Table1[[#This Row],[Column2]]/252</f>
        <v>0.11507936507936507</v>
      </c>
      <c r="R1121" s="2" t="e">
        <f>IF(Table1[[#This Row],[CHECK2]]=0,NA(),
-(1/Table1[[#This Row],[T]])*LN((Table1[[#This Row],[S0]]-Table1[[#This Row],[C]]+Table1[[#This Row],[P]])/Table1[[#This Row],[K]])
)</f>
        <v>#N/A</v>
      </c>
    </row>
    <row r="1122" spans="1:18">
      <c r="A1122">
        <v>1</v>
      </c>
      <c r="B1122" t="s">
        <v>10</v>
      </c>
      <c r="C1122" s="1">
        <v>46161</v>
      </c>
      <c r="D1122" t="s">
        <v>15</v>
      </c>
      <c r="E1122">
        <v>90</v>
      </c>
      <c r="F1122" t="s">
        <v>12</v>
      </c>
      <c r="G1122" t="s">
        <v>13</v>
      </c>
      <c r="H1122" s="1">
        <v>46199</v>
      </c>
      <c r="I1122">
        <v>0</v>
      </c>
      <c r="J1122">
        <v>0.93500000000000005</v>
      </c>
      <c r="K1122">
        <v>0</v>
      </c>
      <c r="L1122">
        <v>15</v>
      </c>
      <c r="M1122">
        <v>52.043788590867898</v>
      </c>
      <c r="N1122">
        <v>1.929</v>
      </c>
      <c r="O1122">
        <f>(Table1[[#This Row],[P]]&lt;&gt;0)*(Table1[[#This Row],[C]]&lt;&gt;0)</f>
        <v>0</v>
      </c>
      <c r="P1122">
        <f>NETWORKDAYS(Table1[[#This Row],[ts_event]],Table1[[#This Row],[option_expiry_date]])</f>
        <v>29</v>
      </c>
      <c r="Q1122">
        <f>Table1[[#This Row],[Column2]]/252</f>
        <v>0.11507936507936507</v>
      </c>
      <c r="R1122" s="2" t="e">
        <f>IF(Table1[[#This Row],[CHECK2]]=0,NA(),
-(1/Table1[[#This Row],[T]])*LN((Table1[[#This Row],[S0]]-Table1[[#This Row],[C]]+Table1[[#This Row],[P]])/Table1[[#This Row],[K]])
)</f>
        <v>#N/A</v>
      </c>
    </row>
    <row r="1123" spans="1:18">
      <c r="A1123">
        <v>1</v>
      </c>
      <c r="B1123" t="s">
        <v>10</v>
      </c>
      <c r="C1123" s="1">
        <v>46161</v>
      </c>
      <c r="D1123" t="s">
        <v>15</v>
      </c>
      <c r="E1123">
        <v>100</v>
      </c>
      <c r="F1123" t="s">
        <v>12</v>
      </c>
      <c r="G1123" t="s">
        <v>13</v>
      </c>
      <c r="H1123" s="1">
        <v>46199</v>
      </c>
      <c r="I1123">
        <v>0</v>
      </c>
      <c r="J1123">
        <v>0.61</v>
      </c>
      <c r="K1123">
        <v>0</v>
      </c>
      <c r="L1123">
        <v>405</v>
      </c>
      <c r="M1123">
        <v>52.043788590867898</v>
      </c>
      <c r="N1123">
        <v>1.929</v>
      </c>
      <c r="O1123">
        <f>(Table1[[#This Row],[P]]&lt;&gt;0)*(Table1[[#This Row],[C]]&lt;&gt;0)</f>
        <v>0</v>
      </c>
      <c r="P1123">
        <f>NETWORKDAYS(Table1[[#This Row],[ts_event]],Table1[[#This Row],[option_expiry_date]])</f>
        <v>29</v>
      </c>
      <c r="Q1123">
        <f>Table1[[#This Row],[Column2]]/252</f>
        <v>0.11507936507936507</v>
      </c>
      <c r="R1123" s="2" t="e">
        <f>IF(Table1[[#This Row],[CHECK2]]=0,NA(),
-(1/Table1[[#This Row],[T]])*LN((Table1[[#This Row],[S0]]-Table1[[#This Row],[C]]+Table1[[#This Row],[P]])/Table1[[#This Row],[K]])
)</f>
        <v>#N/A</v>
      </c>
    </row>
    <row r="1124" spans="1:18">
      <c r="A1124">
        <v>1</v>
      </c>
      <c r="B1124" t="s">
        <v>10</v>
      </c>
      <c r="C1124" s="1">
        <v>46161</v>
      </c>
      <c r="D1124" t="s">
        <v>16</v>
      </c>
      <c r="E1124">
        <v>52</v>
      </c>
      <c r="F1124" t="s">
        <v>12</v>
      </c>
      <c r="G1124" t="s">
        <v>13</v>
      </c>
      <c r="H1124" s="1">
        <v>46230</v>
      </c>
      <c r="I1124">
        <v>0</v>
      </c>
      <c r="J1124">
        <v>7.35</v>
      </c>
      <c r="K1124">
        <v>0</v>
      </c>
      <c r="L1124">
        <v>1750</v>
      </c>
      <c r="M1124">
        <v>51.934012863937703</v>
      </c>
      <c r="N1124">
        <v>1.929</v>
      </c>
      <c r="O1124">
        <f>(Table1[[#This Row],[P]]&lt;&gt;0)*(Table1[[#This Row],[C]]&lt;&gt;0)</f>
        <v>0</v>
      </c>
      <c r="P1124">
        <f>NETWORKDAYS(Table1[[#This Row],[ts_event]],Table1[[#This Row],[option_expiry_date]])</f>
        <v>50</v>
      </c>
      <c r="Q1124">
        <f>Table1[[#This Row],[Column2]]/252</f>
        <v>0.1984126984126984</v>
      </c>
      <c r="R1124" s="2" t="e">
        <f>IF(Table1[[#This Row],[CHECK2]]=0,NA(),
-(1/Table1[[#This Row],[T]])*LN((Table1[[#This Row],[S0]]-Table1[[#This Row],[C]]+Table1[[#This Row],[P]])/Table1[[#This Row],[K]])
)</f>
        <v>#N/A</v>
      </c>
    </row>
    <row r="1125" spans="1:18">
      <c r="A1125">
        <v>1</v>
      </c>
      <c r="B1125" t="s">
        <v>10</v>
      </c>
      <c r="C1125" s="1">
        <v>46161</v>
      </c>
      <c r="D1125" t="s">
        <v>16</v>
      </c>
      <c r="E1125">
        <v>55</v>
      </c>
      <c r="F1125" t="s">
        <v>12</v>
      </c>
      <c r="G1125" t="s">
        <v>13</v>
      </c>
      <c r="H1125" s="1">
        <v>46230</v>
      </c>
      <c r="I1125">
        <v>0</v>
      </c>
      <c r="J1125">
        <v>6.39</v>
      </c>
      <c r="K1125">
        <v>0</v>
      </c>
      <c r="L1125">
        <v>400</v>
      </c>
      <c r="M1125">
        <v>51.934012863937703</v>
      </c>
      <c r="N1125">
        <v>1.929</v>
      </c>
      <c r="O1125">
        <f>(Table1[[#This Row],[P]]&lt;&gt;0)*(Table1[[#This Row],[C]]&lt;&gt;0)</f>
        <v>0</v>
      </c>
      <c r="P1125">
        <f>NETWORKDAYS(Table1[[#This Row],[ts_event]],Table1[[#This Row],[option_expiry_date]])</f>
        <v>50</v>
      </c>
      <c r="Q1125">
        <f>Table1[[#This Row],[Column2]]/252</f>
        <v>0.1984126984126984</v>
      </c>
      <c r="R1125" s="2" t="e">
        <f>IF(Table1[[#This Row],[CHECK2]]=0,NA(),
-(1/Table1[[#This Row],[T]])*LN((Table1[[#This Row],[S0]]-Table1[[#This Row],[C]]+Table1[[#This Row],[P]])/Table1[[#This Row],[K]])
)</f>
        <v>#N/A</v>
      </c>
    </row>
    <row r="1126" spans="1:18">
      <c r="A1126">
        <v>1</v>
      </c>
      <c r="B1126" t="s">
        <v>10</v>
      </c>
      <c r="C1126" s="1">
        <v>46161</v>
      </c>
      <c r="D1126" t="s">
        <v>16</v>
      </c>
      <c r="E1126">
        <v>60</v>
      </c>
      <c r="F1126" t="s">
        <v>12</v>
      </c>
      <c r="G1126" t="s">
        <v>13</v>
      </c>
      <c r="H1126" s="1">
        <v>46230</v>
      </c>
      <c r="I1126">
        <v>0</v>
      </c>
      <c r="J1126">
        <v>5.2149999999999999</v>
      </c>
      <c r="K1126">
        <v>0</v>
      </c>
      <c r="L1126">
        <v>100</v>
      </c>
      <c r="M1126">
        <v>51.934012863937703</v>
      </c>
      <c r="N1126">
        <v>1.929</v>
      </c>
      <c r="O1126">
        <f>(Table1[[#This Row],[P]]&lt;&gt;0)*(Table1[[#This Row],[C]]&lt;&gt;0)</f>
        <v>0</v>
      </c>
      <c r="P1126">
        <f>NETWORKDAYS(Table1[[#This Row],[ts_event]],Table1[[#This Row],[option_expiry_date]])</f>
        <v>50</v>
      </c>
      <c r="Q1126">
        <f>Table1[[#This Row],[Column2]]/252</f>
        <v>0.1984126984126984</v>
      </c>
      <c r="R1126" s="2" t="e">
        <f>IF(Table1[[#This Row],[CHECK2]]=0,NA(),
-(1/Table1[[#This Row],[T]])*LN((Table1[[#This Row],[S0]]-Table1[[#This Row],[C]]+Table1[[#This Row],[P]])/Table1[[#This Row],[K]])
)</f>
        <v>#N/A</v>
      </c>
    </row>
    <row r="1127" spans="1:18">
      <c r="A1127">
        <v>1</v>
      </c>
      <c r="B1127" t="s">
        <v>10</v>
      </c>
      <c r="C1127" s="1">
        <v>46161</v>
      </c>
      <c r="D1127" t="s">
        <v>16</v>
      </c>
      <c r="E1127">
        <v>70</v>
      </c>
      <c r="F1127" t="s">
        <v>12</v>
      </c>
      <c r="G1127" t="s">
        <v>13</v>
      </c>
      <c r="H1127" s="1">
        <v>46230</v>
      </c>
      <c r="I1127">
        <v>0</v>
      </c>
      <c r="J1127">
        <v>3.5249999999999999</v>
      </c>
      <c r="K1127">
        <v>0</v>
      </c>
      <c r="L1127">
        <v>5</v>
      </c>
      <c r="M1127">
        <v>51.934012863937703</v>
      </c>
      <c r="N1127">
        <v>1.929</v>
      </c>
      <c r="O1127">
        <f>(Table1[[#This Row],[P]]&lt;&gt;0)*(Table1[[#This Row],[C]]&lt;&gt;0)</f>
        <v>0</v>
      </c>
      <c r="P1127">
        <f>NETWORKDAYS(Table1[[#This Row],[ts_event]],Table1[[#This Row],[option_expiry_date]])</f>
        <v>50</v>
      </c>
      <c r="Q1127">
        <f>Table1[[#This Row],[Column2]]/252</f>
        <v>0.1984126984126984</v>
      </c>
      <c r="R1127" s="2" t="e">
        <f>IF(Table1[[#This Row],[CHECK2]]=0,NA(),
-(1/Table1[[#This Row],[T]])*LN((Table1[[#This Row],[S0]]-Table1[[#This Row],[C]]+Table1[[#This Row],[P]])/Table1[[#This Row],[K]])
)</f>
        <v>#N/A</v>
      </c>
    </row>
    <row r="1128" spans="1:18">
      <c r="A1128">
        <v>1</v>
      </c>
      <c r="B1128" t="s">
        <v>10</v>
      </c>
      <c r="C1128" s="1">
        <v>46161</v>
      </c>
      <c r="D1128" t="s">
        <v>16</v>
      </c>
      <c r="E1128">
        <v>80</v>
      </c>
      <c r="F1128" t="s">
        <v>12</v>
      </c>
      <c r="G1128" t="s">
        <v>13</v>
      </c>
      <c r="H1128" s="1">
        <v>46230</v>
      </c>
      <c r="I1128">
        <v>0</v>
      </c>
      <c r="J1128">
        <v>2.5</v>
      </c>
      <c r="K1128">
        <v>0</v>
      </c>
      <c r="L1128">
        <v>5</v>
      </c>
      <c r="M1128">
        <v>51.934012863937703</v>
      </c>
      <c r="N1128">
        <v>1.929</v>
      </c>
      <c r="O1128">
        <f>(Table1[[#This Row],[P]]&lt;&gt;0)*(Table1[[#This Row],[C]]&lt;&gt;0)</f>
        <v>0</v>
      </c>
      <c r="P1128">
        <f>NETWORKDAYS(Table1[[#This Row],[ts_event]],Table1[[#This Row],[option_expiry_date]])</f>
        <v>50</v>
      </c>
      <c r="Q1128">
        <f>Table1[[#This Row],[Column2]]/252</f>
        <v>0.1984126984126984</v>
      </c>
      <c r="R1128" s="2" t="e">
        <f>IF(Table1[[#This Row],[CHECK2]]=0,NA(),
-(1/Table1[[#This Row],[T]])*LN((Table1[[#This Row],[S0]]-Table1[[#This Row],[C]]+Table1[[#This Row],[P]])/Table1[[#This Row],[K]])
)</f>
        <v>#N/A</v>
      </c>
    </row>
    <row r="1129" spans="1:18">
      <c r="A1129">
        <v>1</v>
      </c>
      <c r="B1129" t="s">
        <v>10</v>
      </c>
      <c r="C1129" s="1">
        <v>46161</v>
      </c>
      <c r="D1129" t="s">
        <v>16</v>
      </c>
      <c r="E1129">
        <v>100</v>
      </c>
      <c r="F1129" t="s">
        <v>12</v>
      </c>
      <c r="G1129" t="s">
        <v>13</v>
      </c>
      <c r="H1129" s="1">
        <v>46230</v>
      </c>
      <c r="I1129">
        <v>0</v>
      </c>
      <c r="J1129">
        <v>1.35</v>
      </c>
      <c r="K1129">
        <v>0</v>
      </c>
      <c r="L1129">
        <v>300</v>
      </c>
      <c r="M1129">
        <v>51.934012863937703</v>
      </c>
      <c r="N1129">
        <v>1.929</v>
      </c>
      <c r="O1129">
        <f>(Table1[[#This Row],[P]]&lt;&gt;0)*(Table1[[#This Row],[C]]&lt;&gt;0)</f>
        <v>0</v>
      </c>
      <c r="P1129">
        <f>NETWORKDAYS(Table1[[#This Row],[ts_event]],Table1[[#This Row],[option_expiry_date]])</f>
        <v>50</v>
      </c>
      <c r="Q1129">
        <f>Table1[[#This Row],[Column2]]/252</f>
        <v>0.1984126984126984</v>
      </c>
      <c r="R1129" s="2" t="e">
        <f>IF(Table1[[#This Row],[CHECK2]]=0,NA(),
-(1/Table1[[#This Row],[T]])*LN((Table1[[#This Row],[S0]]-Table1[[#This Row],[C]]+Table1[[#This Row],[P]])/Table1[[#This Row],[K]])
)</f>
        <v>#N/A</v>
      </c>
    </row>
    <row r="1130" spans="1:18">
      <c r="A1130">
        <v>1</v>
      </c>
      <c r="B1130" t="s">
        <v>10</v>
      </c>
      <c r="C1130" s="1">
        <v>46161</v>
      </c>
      <c r="D1130" t="s">
        <v>17</v>
      </c>
      <c r="E1130">
        <v>50</v>
      </c>
      <c r="F1130" t="s">
        <v>12</v>
      </c>
      <c r="G1130" t="s">
        <v>13</v>
      </c>
      <c r="H1130" s="1">
        <v>46260</v>
      </c>
      <c r="I1130">
        <v>0</v>
      </c>
      <c r="J1130">
        <v>9</v>
      </c>
      <c r="K1130">
        <v>0</v>
      </c>
      <c r="L1130">
        <v>250</v>
      </c>
      <c r="M1130">
        <v>51.857503070800298</v>
      </c>
      <c r="N1130">
        <v>1.929</v>
      </c>
      <c r="O1130">
        <f>(Table1[[#This Row],[P]]&lt;&gt;0)*(Table1[[#This Row],[C]]&lt;&gt;0)</f>
        <v>0</v>
      </c>
      <c r="P1130">
        <f>NETWORKDAYS(Table1[[#This Row],[ts_event]],Table1[[#This Row],[option_expiry_date]])</f>
        <v>72</v>
      </c>
      <c r="Q1130">
        <f>Table1[[#This Row],[Column2]]/252</f>
        <v>0.2857142857142857</v>
      </c>
      <c r="R1130" s="2" t="e">
        <f>IF(Table1[[#This Row],[CHECK2]]=0,NA(),
-(1/Table1[[#This Row],[T]])*LN((Table1[[#This Row],[S0]]-Table1[[#This Row],[C]]+Table1[[#This Row],[P]])/Table1[[#This Row],[K]])
)</f>
        <v>#N/A</v>
      </c>
    </row>
    <row r="1131" spans="1:18">
      <c r="A1131">
        <v>1</v>
      </c>
      <c r="B1131" t="s">
        <v>10</v>
      </c>
      <c r="C1131" s="1">
        <v>46161</v>
      </c>
      <c r="D1131" t="s">
        <v>17</v>
      </c>
      <c r="E1131">
        <v>60</v>
      </c>
      <c r="F1131" t="s">
        <v>12</v>
      </c>
      <c r="G1131" t="s">
        <v>13</v>
      </c>
      <c r="H1131" s="1">
        <v>46260</v>
      </c>
      <c r="I1131">
        <v>0</v>
      </c>
      <c r="J1131">
        <v>6.35</v>
      </c>
      <c r="K1131">
        <v>0</v>
      </c>
      <c r="L1131">
        <v>250</v>
      </c>
      <c r="M1131">
        <v>51.857503070800298</v>
      </c>
      <c r="N1131">
        <v>1.929</v>
      </c>
      <c r="O1131">
        <f>(Table1[[#This Row],[P]]&lt;&gt;0)*(Table1[[#This Row],[C]]&lt;&gt;0)</f>
        <v>0</v>
      </c>
      <c r="P1131">
        <f>NETWORKDAYS(Table1[[#This Row],[ts_event]],Table1[[#This Row],[option_expiry_date]])</f>
        <v>72</v>
      </c>
      <c r="Q1131">
        <f>Table1[[#This Row],[Column2]]/252</f>
        <v>0.2857142857142857</v>
      </c>
      <c r="R1131" s="2" t="e">
        <f>IF(Table1[[#This Row],[CHECK2]]=0,NA(),
-(1/Table1[[#This Row],[T]])*LN((Table1[[#This Row],[S0]]-Table1[[#This Row],[C]]+Table1[[#This Row],[P]])/Table1[[#This Row],[K]])
)</f>
        <v>#N/A</v>
      </c>
    </row>
    <row r="1132" spans="1:18">
      <c r="A1132">
        <v>1</v>
      </c>
      <c r="B1132" t="s">
        <v>10</v>
      </c>
      <c r="C1132" s="1">
        <v>46161</v>
      </c>
      <c r="D1132" t="s">
        <v>18</v>
      </c>
      <c r="E1132">
        <v>35</v>
      </c>
      <c r="F1132" t="s">
        <v>12</v>
      </c>
      <c r="G1132" t="s">
        <v>13</v>
      </c>
      <c r="H1132" s="1">
        <v>46290</v>
      </c>
      <c r="I1132">
        <v>1.3</v>
      </c>
      <c r="J1132">
        <v>0</v>
      </c>
      <c r="K1132">
        <v>1050</v>
      </c>
      <c r="L1132">
        <v>0</v>
      </c>
      <c r="M1132">
        <v>51.490953853200502</v>
      </c>
      <c r="N1132">
        <v>1.929</v>
      </c>
      <c r="O1132">
        <f>(Table1[[#This Row],[P]]&lt;&gt;0)*(Table1[[#This Row],[C]]&lt;&gt;0)</f>
        <v>0</v>
      </c>
      <c r="P1132">
        <f>NETWORKDAYS(Table1[[#This Row],[ts_event]],Table1[[#This Row],[option_expiry_date]])</f>
        <v>94</v>
      </c>
      <c r="Q1132">
        <f>Table1[[#This Row],[Column2]]/252</f>
        <v>0.37301587301587302</v>
      </c>
      <c r="R1132" s="2" t="e">
        <f>IF(Table1[[#This Row],[CHECK2]]=0,NA(),
-(1/Table1[[#This Row],[T]])*LN((Table1[[#This Row],[S0]]-Table1[[#This Row],[C]]+Table1[[#This Row],[P]])/Table1[[#This Row],[K]])
)</f>
        <v>#N/A</v>
      </c>
    </row>
    <row r="1133" spans="1:18">
      <c r="A1133">
        <v>1</v>
      </c>
      <c r="B1133" t="s">
        <v>10</v>
      </c>
      <c r="C1133" s="1">
        <v>46161</v>
      </c>
      <c r="D1133" t="s">
        <v>18</v>
      </c>
      <c r="E1133">
        <v>50</v>
      </c>
      <c r="F1133" t="s">
        <v>12</v>
      </c>
      <c r="G1133" t="s">
        <v>13</v>
      </c>
      <c r="H1133" s="1">
        <v>46290</v>
      </c>
      <c r="I1133">
        <v>8.85</v>
      </c>
      <c r="J1133">
        <v>0</v>
      </c>
      <c r="K1133">
        <v>150</v>
      </c>
      <c r="L1133">
        <v>0</v>
      </c>
      <c r="M1133">
        <v>51.490953853200502</v>
      </c>
      <c r="N1133">
        <v>1.929</v>
      </c>
      <c r="O1133">
        <f>(Table1[[#This Row],[P]]&lt;&gt;0)*(Table1[[#This Row],[C]]&lt;&gt;0)</f>
        <v>0</v>
      </c>
      <c r="P1133">
        <f>NETWORKDAYS(Table1[[#This Row],[ts_event]],Table1[[#This Row],[option_expiry_date]])</f>
        <v>94</v>
      </c>
      <c r="Q1133">
        <f>Table1[[#This Row],[Column2]]/252</f>
        <v>0.37301587301587302</v>
      </c>
      <c r="R1133" s="2" t="e">
        <f>IF(Table1[[#This Row],[CHECK2]]=0,NA(),
-(1/Table1[[#This Row],[T]])*LN((Table1[[#This Row],[S0]]-Table1[[#This Row],[C]]+Table1[[#This Row],[P]])/Table1[[#This Row],[K]])
)</f>
        <v>#N/A</v>
      </c>
    </row>
    <row r="1134" spans="1:18">
      <c r="A1134">
        <v>1</v>
      </c>
      <c r="B1134" t="s">
        <v>10</v>
      </c>
      <c r="C1134" s="1">
        <v>46161</v>
      </c>
      <c r="D1134" t="s">
        <v>18</v>
      </c>
      <c r="E1134">
        <v>70</v>
      </c>
      <c r="F1134" t="s">
        <v>12</v>
      </c>
      <c r="G1134" t="s">
        <v>13</v>
      </c>
      <c r="H1134" s="1">
        <v>46290</v>
      </c>
      <c r="I1134">
        <v>0</v>
      </c>
      <c r="J1134">
        <v>5.25</v>
      </c>
      <c r="K1134">
        <v>0</v>
      </c>
      <c r="L1134">
        <v>1025</v>
      </c>
      <c r="M1134">
        <v>51.490953853200502</v>
      </c>
      <c r="N1134">
        <v>1.929</v>
      </c>
      <c r="O1134">
        <f>(Table1[[#This Row],[P]]&lt;&gt;0)*(Table1[[#This Row],[C]]&lt;&gt;0)</f>
        <v>0</v>
      </c>
      <c r="P1134">
        <f>NETWORKDAYS(Table1[[#This Row],[ts_event]],Table1[[#This Row],[option_expiry_date]])</f>
        <v>94</v>
      </c>
      <c r="Q1134">
        <f>Table1[[#This Row],[Column2]]/252</f>
        <v>0.37301587301587302</v>
      </c>
      <c r="R1134" s="2" t="e">
        <f>IF(Table1[[#This Row],[CHECK2]]=0,NA(),
-(1/Table1[[#This Row],[T]])*LN((Table1[[#This Row],[S0]]-Table1[[#This Row],[C]]+Table1[[#This Row],[P]])/Table1[[#This Row],[K]])
)</f>
        <v>#N/A</v>
      </c>
    </row>
    <row r="1135" spans="1:18">
      <c r="A1135">
        <v>1</v>
      </c>
      <c r="B1135" t="s">
        <v>10</v>
      </c>
      <c r="C1135" s="1">
        <v>46161</v>
      </c>
      <c r="D1135" t="s">
        <v>18</v>
      </c>
      <c r="E1135">
        <v>75</v>
      </c>
      <c r="F1135" t="s">
        <v>12</v>
      </c>
      <c r="G1135" t="s">
        <v>13</v>
      </c>
      <c r="H1135" s="1">
        <v>46290</v>
      </c>
      <c r="I1135">
        <v>0</v>
      </c>
      <c r="J1135">
        <v>4.55</v>
      </c>
      <c r="K1135">
        <v>0</v>
      </c>
      <c r="L1135">
        <v>350</v>
      </c>
      <c r="M1135">
        <v>51.490953853200502</v>
      </c>
      <c r="N1135">
        <v>1.929</v>
      </c>
      <c r="O1135">
        <f>(Table1[[#This Row],[P]]&lt;&gt;0)*(Table1[[#This Row],[C]]&lt;&gt;0)</f>
        <v>0</v>
      </c>
      <c r="P1135">
        <f>NETWORKDAYS(Table1[[#This Row],[ts_event]],Table1[[#This Row],[option_expiry_date]])</f>
        <v>94</v>
      </c>
      <c r="Q1135">
        <f>Table1[[#This Row],[Column2]]/252</f>
        <v>0.37301587301587302</v>
      </c>
      <c r="R1135" s="2" t="e">
        <f>IF(Table1[[#This Row],[CHECK2]]=0,NA(),
-(1/Table1[[#This Row],[T]])*LN((Table1[[#This Row],[S0]]-Table1[[#This Row],[C]]+Table1[[#This Row],[P]])/Table1[[#This Row],[K]])
)</f>
        <v>#N/A</v>
      </c>
    </row>
    <row r="1136" spans="1:18">
      <c r="A1136">
        <v>1</v>
      </c>
      <c r="B1136" t="s">
        <v>10</v>
      </c>
      <c r="C1136" s="1">
        <v>46161</v>
      </c>
      <c r="D1136" t="s">
        <v>20</v>
      </c>
      <c r="E1136">
        <v>30</v>
      </c>
      <c r="F1136" t="s">
        <v>12</v>
      </c>
      <c r="G1136" t="s">
        <v>13</v>
      </c>
      <c r="H1136" s="1">
        <v>46352</v>
      </c>
      <c r="I1136">
        <v>0.76</v>
      </c>
      <c r="J1136">
        <v>0</v>
      </c>
      <c r="K1136">
        <v>400</v>
      </c>
      <c r="L1136">
        <v>0</v>
      </c>
      <c r="M1136">
        <v>50.106870967741898</v>
      </c>
      <c r="N1136">
        <v>1.929</v>
      </c>
      <c r="O1136">
        <f>(Table1[[#This Row],[P]]&lt;&gt;0)*(Table1[[#This Row],[C]]&lt;&gt;0)</f>
        <v>0</v>
      </c>
      <c r="P1136">
        <f>NETWORKDAYS(Table1[[#This Row],[ts_event]],Table1[[#This Row],[option_expiry_date]])</f>
        <v>138</v>
      </c>
      <c r="Q1136">
        <f>Table1[[#This Row],[Column2]]/252</f>
        <v>0.54761904761904767</v>
      </c>
      <c r="R1136" s="2" t="e">
        <f>IF(Table1[[#This Row],[CHECK2]]=0,NA(),
-(1/Table1[[#This Row],[T]])*LN((Table1[[#This Row],[S0]]-Table1[[#This Row],[C]]+Table1[[#This Row],[P]])/Table1[[#This Row],[K]])
)</f>
        <v>#N/A</v>
      </c>
    </row>
    <row r="1137" spans="1:18">
      <c r="A1137">
        <v>1</v>
      </c>
      <c r="B1137" t="s">
        <v>10</v>
      </c>
      <c r="C1137" s="1">
        <v>46161</v>
      </c>
      <c r="D1137" t="s">
        <v>20</v>
      </c>
      <c r="E1137">
        <v>35</v>
      </c>
      <c r="F1137" t="s">
        <v>12</v>
      </c>
      <c r="G1137" t="s">
        <v>13</v>
      </c>
      <c r="H1137" s="1">
        <v>46352</v>
      </c>
      <c r="I1137">
        <v>2.11</v>
      </c>
      <c r="J1137">
        <v>0</v>
      </c>
      <c r="K1137">
        <v>250</v>
      </c>
      <c r="L1137">
        <v>0</v>
      </c>
      <c r="M1137">
        <v>50.106870967741898</v>
      </c>
      <c r="N1137">
        <v>1.929</v>
      </c>
      <c r="O1137">
        <f>(Table1[[#This Row],[P]]&lt;&gt;0)*(Table1[[#This Row],[C]]&lt;&gt;0)</f>
        <v>0</v>
      </c>
      <c r="P1137">
        <f>NETWORKDAYS(Table1[[#This Row],[ts_event]],Table1[[#This Row],[option_expiry_date]])</f>
        <v>138</v>
      </c>
      <c r="Q1137">
        <f>Table1[[#This Row],[Column2]]/252</f>
        <v>0.54761904761904767</v>
      </c>
      <c r="R1137" s="2" t="e">
        <f>IF(Table1[[#This Row],[CHECK2]]=0,NA(),
-(1/Table1[[#This Row],[T]])*LN((Table1[[#This Row],[S0]]-Table1[[#This Row],[C]]+Table1[[#This Row],[P]])/Table1[[#This Row],[K]])
)</f>
        <v>#N/A</v>
      </c>
    </row>
    <row r="1138" spans="1:18">
      <c r="A1138">
        <v>1</v>
      </c>
      <c r="B1138" t="s">
        <v>10</v>
      </c>
      <c r="C1138" s="1">
        <v>46161</v>
      </c>
      <c r="D1138" t="s">
        <v>20</v>
      </c>
      <c r="E1138">
        <v>50</v>
      </c>
      <c r="F1138" t="s">
        <v>12</v>
      </c>
      <c r="G1138" t="s">
        <v>13</v>
      </c>
      <c r="H1138" s="1">
        <v>46352</v>
      </c>
      <c r="I1138">
        <v>0</v>
      </c>
      <c r="J1138">
        <v>9.65</v>
      </c>
      <c r="K1138">
        <v>0</v>
      </c>
      <c r="L1138">
        <v>300</v>
      </c>
      <c r="M1138">
        <v>50.106870967741898</v>
      </c>
      <c r="N1138">
        <v>1.929</v>
      </c>
      <c r="O1138">
        <f>(Table1[[#This Row],[P]]&lt;&gt;0)*(Table1[[#This Row],[C]]&lt;&gt;0)</f>
        <v>0</v>
      </c>
      <c r="P1138">
        <f>NETWORKDAYS(Table1[[#This Row],[ts_event]],Table1[[#This Row],[option_expiry_date]])</f>
        <v>138</v>
      </c>
      <c r="Q1138">
        <f>Table1[[#This Row],[Column2]]/252</f>
        <v>0.54761904761904767</v>
      </c>
      <c r="R1138" s="2" t="e">
        <f>IF(Table1[[#This Row],[CHECK2]]=0,NA(),
-(1/Table1[[#This Row],[T]])*LN((Table1[[#This Row],[S0]]-Table1[[#This Row],[C]]+Table1[[#This Row],[P]])/Table1[[#This Row],[K]])
)</f>
        <v>#N/A</v>
      </c>
    </row>
    <row r="1139" spans="1:18">
      <c r="A1139">
        <v>1</v>
      </c>
      <c r="B1139" t="s">
        <v>10</v>
      </c>
      <c r="C1139" s="1">
        <v>46161</v>
      </c>
      <c r="D1139" t="s">
        <v>20</v>
      </c>
      <c r="E1139">
        <v>60</v>
      </c>
      <c r="F1139" t="s">
        <v>12</v>
      </c>
      <c r="G1139" t="s">
        <v>13</v>
      </c>
      <c r="H1139" s="1">
        <v>46352</v>
      </c>
      <c r="I1139">
        <v>0</v>
      </c>
      <c r="J1139">
        <v>7.35</v>
      </c>
      <c r="K1139">
        <v>0</v>
      </c>
      <c r="L1139">
        <v>325</v>
      </c>
      <c r="M1139">
        <v>50.106870967741898</v>
      </c>
      <c r="N1139">
        <v>1.929</v>
      </c>
      <c r="O1139">
        <f>(Table1[[#This Row],[P]]&lt;&gt;0)*(Table1[[#This Row],[C]]&lt;&gt;0)</f>
        <v>0</v>
      </c>
      <c r="P1139">
        <f>NETWORKDAYS(Table1[[#This Row],[ts_event]],Table1[[#This Row],[option_expiry_date]])</f>
        <v>138</v>
      </c>
      <c r="Q1139">
        <f>Table1[[#This Row],[Column2]]/252</f>
        <v>0.54761904761904767</v>
      </c>
      <c r="R1139" s="2" t="e">
        <f>IF(Table1[[#This Row],[CHECK2]]=0,NA(),
-(1/Table1[[#This Row],[T]])*LN((Table1[[#This Row],[S0]]-Table1[[#This Row],[C]]+Table1[[#This Row],[P]])/Table1[[#This Row],[K]])
)</f>
        <v>#N/A</v>
      </c>
    </row>
    <row r="1140" spans="1:18">
      <c r="A1140">
        <v>1</v>
      </c>
      <c r="B1140" t="s">
        <v>10</v>
      </c>
      <c r="C1140" s="1">
        <v>46161</v>
      </c>
      <c r="D1140" t="s">
        <v>23</v>
      </c>
      <c r="E1140">
        <v>45</v>
      </c>
      <c r="F1140" t="s">
        <v>12</v>
      </c>
      <c r="G1140" t="s">
        <v>13</v>
      </c>
      <c r="H1140" s="1">
        <v>46471</v>
      </c>
      <c r="I1140">
        <v>0</v>
      </c>
      <c r="J1140">
        <v>6.2</v>
      </c>
      <c r="K1140">
        <v>0</v>
      </c>
      <c r="L1140">
        <v>300</v>
      </c>
      <c r="M1140">
        <v>38.454862940069802</v>
      </c>
      <c r="N1140">
        <v>1.929</v>
      </c>
      <c r="O1140">
        <f>(Table1[[#This Row],[P]]&lt;&gt;0)*(Table1[[#This Row],[C]]&lt;&gt;0)</f>
        <v>0</v>
      </c>
      <c r="P1140">
        <f>NETWORKDAYS(Table1[[#This Row],[ts_event]],Table1[[#This Row],[option_expiry_date]])</f>
        <v>223</v>
      </c>
      <c r="Q1140">
        <f>Table1[[#This Row],[Column2]]/252</f>
        <v>0.88492063492063489</v>
      </c>
      <c r="R1140" s="2" t="e">
        <f>IF(Table1[[#This Row],[CHECK2]]=0,NA(),
-(1/Table1[[#This Row],[T]])*LN((Table1[[#This Row],[S0]]-Table1[[#This Row],[C]]+Table1[[#This Row],[P]])/Table1[[#This Row],[K]])
)</f>
        <v>#N/A</v>
      </c>
    </row>
    <row r="1141" spans="1:18">
      <c r="A1141">
        <v>1</v>
      </c>
      <c r="B1141" t="s">
        <v>10</v>
      </c>
      <c r="C1141" s="1">
        <v>46161</v>
      </c>
      <c r="D1141" t="s">
        <v>23</v>
      </c>
      <c r="E1141">
        <v>50</v>
      </c>
      <c r="F1141" t="s">
        <v>12</v>
      </c>
      <c r="G1141" t="s">
        <v>13</v>
      </c>
      <c r="H1141" s="1">
        <v>46471</v>
      </c>
      <c r="I1141">
        <v>0</v>
      </c>
      <c r="J1141">
        <v>5.25</v>
      </c>
      <c r="K1141">
        <v>0</v>
      </c>
      <c r="L1141">
        <v>200</v>
      </c>
      <c r="M1141">
        <v>38.454862940069802</v>
      </c>
      <c r="N1141">
        <v>1.929</v>
      </c>
      <c r="O1141">
        <f>(Table1[[#This Row],[P]]&lt;&gt;0)*(Table1[[#This Row],[C]]&lt;&gt;0)</f>
        <v>0</v>
      </c>
      <c r="P1141">
        <f>NETWORKDAYS(Table1[[#This Row],[ts_event]],Table1[[#This Row],[option_expiry_date]])</f>
        <v>223</v>
      </c>
      <c r="Q1141">
        <f>Table1[[#This Row],[Column2]]/252</f>
        <v>0.88492063492063489</v>
      </c>
      <c r="R1141" s="2" t="e">
        <f>IF(Table1[[#This Row],[CHECK2]]=0,NA(),
-(1/Table1[[#This Row],[T]])*LN((Table1[[#This Row],[S0]]-Table1[[#This Row],[C]]+Table1[[#This Row],[P]])/Table1[[#This Row],[K]])
)</f>
        <v>#N/A</v>
      </c>
    </row>
    <row r="1142" spans="1:18">
      <c r="A1142">
        <v>1</v>
      </c>
      <c r="B1142" t="s">
        <v>10</v>
      </c>
      <c r="C1142" s="1">
        <v>46162</v>
      </c>
      <c r="D1142" t="s">
        <v>14</v>
      </c>
      <c r="E1142">
        <v>36</v>
      </c>
      <c r="F1142" t="s">
        <v>12</v>
      </c>
      <c r="G1142" t="s">
        <v>13</v>
      </c>
      <c r="H1142" s="1">
        <v>46169</v>
      </c>
      <c r="I1142">
        <v>0.05</v>
      </c>
      <c r="J1142">
        <v>0</v>
      </c>
      <c r="K1142">
        <v>1400</v>
      </c>
      <c r="L1142">
        <v>0</v>
      </c>
      <c r="M1142">
        <v>49.347506876699804</v>
      </c>
      <c r="N1142">
        <v>1.931</v>
      </c>
      <c r="O1142">
        <f>(Table1[[#This Row],[P]]&lt;&gt;0)*(Table1[[#This Row],[C]]&lt;&gt;0)</f>
        <v>0</v>
      </c>
      <c r="P1142">
        <f>NETWORKDAYS(Table1[[#This Row],[ts_event]],Table1[[#This Row],[option_expiry_date]])</f>
        <v>6</v>
      </c>
      <c r="Q1142">
        <f>Table1[[#This Row],[Column2]]/252</f>
        <v>2.3809523809523808E-2</v>
      </c>
      <c r="R1142" s="2" t="e">
        <f>IF(Table1[[#This Row],[CHECK2]]=0,NA(),
-(1/Table1[[#This Row],[T]])*LN((Table1[[#This Row],[S0]]-Table1[[#This Row],[C]]+Table1[[#This Row],[P]])/Table1[[#This Row],[K]])
)</f>
        <v>#N/A</v>
      </c>
    </row>
    <row r="1143" spans="1:18">
      <c r="A1143">
        <v>2</v>
      </c>
      <c r="B1143" t="s">
        <v>10</v>
      </c>
      <c r="C1143" s="1">
        <v>46162</v>
      </c>
      <c r="D1143" t="s">
        <v>14</v>
      </c>
      <c r="E1143">
        <v>38</v>
      </c>
      <c r="F1143" t="s">
        <v>12</v>
      </c>
      <c r="G1143" t="s">
        <v>13</v>
      </c>
      <c r="H1143" s="1">
        <v>46169</v>
      </c>
      <c r="I1143">
        <v>0.1</v>
      </c>
      <c r="J1143">
        <v>0</v>
      </c>
      <c r="K1143">
        <v>625</v>
      </c>
      <c r="L1143">
        <v>0</v>
      </c>
      <c r="M1143">
        <v>49.347506876699804</v>
      </c>
      <c r="N1143">
        <v>1.931</v>
      </c>
      <c r="O1143">
        <f>(Table1[[#This Row],[P]]&lt;&gt;0)*(Table1[[#This Row],[C]]&lt;&gt;0)</f>
        <v>0</v>
      </c>
      <c r="P1143">
        <f>NETWORKDAYS(Table1[[#This Row],[ts_event]],Table1[[#This Row],[option_expiry_date]])</f>
        <v>6</v>
      </c>
      <c r="Q1143">
        <f>Table1[[#This Row],[Column2]]/252</f>
        <v>2.3809523809523808E-2</v>
      </c>
      <c r="R1143" s="2" t="e">
        <f>IF(Table1[[#This Row],[CHECK2]]=0,NA(),
-(1/Table1[[#This Row],[T]])*LN((Table1[[#This Row],[S0]]-Table1[[#This Row],[C]]+Table1[[#This Row],[P]])/Table1[[#This Row],[K]])
)</f>
        <v>#N/A</v>
      </c>
    </row>
    <row r="1144" spans="1:18">
      <c r="A1144">
        <v>1</v>
      </c>
      <c r="B1144" t="s">
        <v>10</v>
      </c>
      <c r="C1144" s="1">
        <v>46162</v>
      </c>
      <c r="D1144" t="s">
        <v>14</v>
      </c>
      <c r="E1144">
        <v>40</v>
      </c>
      <c r="F1144" t="s">
        <v>12</v>
      </c>
      <c r="G1144" t="s">
        <v>13</v>
      </c>
      <c r="H1144" s="1">
        <v>46169</v>
      </c>
      <c r="I1144">
        <v>0.17499999999999999</v>
      </c>
      <c r="J1144">
        <v>0</v>
      </c>
      <c r="K1144">
        <v>2055</v>
      </c>
      <c r="L1144">
        <v>0</v>
      </c>
      <c r="M1144">
        <v>49.347506876699804</v>
      </c>
      <c r="N1144">
        <v>1.931</v>
      </c>
      <c r="O1144">
        <f>(Table1[[#This Row],[P]]&lt;&gt;0)*(Table1[[#This Row],[C]]&lt;&gt;0)</f>
        <v>0</v>
      </c>
      <c r="P1144">
        <f>NETWORKDAYS(Table1[[#This Row],[ts_event]],Table1[[#This Row],[option_expiry_date]])</f>
        <v>6</v>
      </c>
      <c r="Q1144">
        <f>Table1[[#This Row],[Column2]]/252</f>
        <v>2.3809523809523808E-2</v>
      </c>
      <c r="R1144" s="2" t="e">
        <f>IF(Table1[[#This Row],[CHECK2]]=0,NA(),
-(1/Table1[[#This Row],[T]])*LN((Table1[[#This Row],[S0]]-Table1[[#This Row],[C]]+Table1[[#This Row],[P]])/Table1[[#This Row],[K]])
)</f>
        <v>#N/A</v>
      </c>
    </row>
    <row r="1145" spans="1:18">
      <c r="A1145">
        <v>1</v>
      </c>
      <c r="B1145" t="s">
        <v>10</v>
      </c>
      <c r="C1145" s="1">
        <v>46162</v>
      </c>
      <c r="D1145" t="s">
        <v>14</v>
      </c>
      <c r="E1145">
        <v>41</v>
      </c>
      <c r="F1145" t="s">
        <v>12</v>
      </c>
      <c r="G1145" t="s">
        <v>13</v>
      </c>
      <c r="H1145" s="1">
        <v>46169</v>
      </c>
      <c r="I1145">
        <v>0.25</v>
      </c>
      <c r="J1145">
        <v>0</v>
      </c>
      <c r="K1145">
        <v>4300</v>
      </c>
      <c r="L1145">
        <v>0</v>
      </c>
      <c r="M1145">
        <v>49.347506876699804</v>
      </c>
      <c r="N1145">
        <v>1.931</v>
      </c>
      <c r="O1145">
        <f>(Table1[[#This Row],[P]]&lt;&gt;0)*(Table1[[#This Row],[C]]&lt;&gt;0)</f>
        <v>0</v>
      </c>
      <c r="P1145">
        <f>NETWORKDAYS(Table1[[#This Row],[ts_event]],Table1[[#This Row],[option_expiry_date]])</f>
        <v>6</v>
      </c>
      <c r="Q1145">
        <f>Table1[[#This Row],[Column2]]/252</f>
        <v>2.3809523809523808E-2</v>
      </c>
      <c r="R1145" s="2" t="e">
        <f>IF(Table1[[#This Row],[CHECK2]]=0,NA(),
-(1/Table1[[#This Row],[T]])*LN((Table1[[#This Row],[S0]]-Table1[[#This Row],[C]]+Table1[[#This Row],[P]])/Table1[[#This Row],[K]])
)</f>
        <v>#N/A</v>
      </c>
    </row>
    <row r="1146" spans="1:18">
      <c r="A1146">
        <v>1</v>
      </c>
      <c r="B1146" t="s">
        <v>10</v>
      </c>
      <c r="C1146" s="1">
        <v>46162</v>
      </c>
      <c r="D1146" t="s">
        <v>14</v>
      </c>
      <c r="E1146">
        <v>42</v>
      </c>
      <c r="F1146" t="s">
        <v>12</v>
      </c>
      <c r="G1146" t="s">
        <v>13</v>
      </c>
      <c r="H1146" s="1">
        <v>46169</v>
      </c>
      <c r="I1146">
        <v>0.37</v>
      </c>
      <c r="J1146">
        <v>0</v>
      </c>
      <c r="K1146">
        <v>4675</v>
      </c>
      <c r="L1146">
        <v>0</v>
      </c>
      <c r="M1146">
        <v>49.347506876699804</v>
      </c>
      <c r="N1146">
        <v>1.931</v>
      </c>
      <c r="O1146">
        <f>(Table1[[#This Row],[P]]&lt;&gt;0)*(Table1[[#This Row],[C]]&lt;&gt;0)</f>
        <v>0</v>
      </c>
      <c r="P1146">
        <f>NETWORKDAYS(Table1[[#This Row],[ts_event]],Table1[[#This Row],[option_expiry_date]])</f>
        <v>6</v>
      </c>
      <c r="Q1146">
        <f>Table1[[#This Row],[Column2]]/252</f>
        <v>2.3809523809523808E-2</v>
      </c>
      <c r="R1146" s="2" t="e">
        <f>IF(Table1[[#This Row],[CHECK2]]=0,NA(),
-(1/Table1[[#This Row],[T]])*LN((Table1[[#This Row],[S0]]-Table1[[#This Row],[C]]+Table1[[#This Row],[P]])/Table1[[#This Row],[K]])
)</f>
        <v>#N/A</v>
      </c>
    </row>
    <row r="1147" spans="1:18">
      <c r="A1147">
        <v>1</v>
      </c>
      <c r="B1147" t="s">
        <v>10</v>
      </c>
      <c r="C1147" s="1">
        <v>46162</v>
      </c>
      <c r="D1147" t="s">
        <v>14</v>
      </c>
      <c r="E1147">
        <v>43</v>
      </c>
      <c r="F1147" t="s">
        <v>12</v>
      </c>
      <c r="G1147" t="s">
        <v>13</v>
      </c>
      <c r="H1147" s="1">
        <v>46169</v>
      </c>
      <c r="I1147">
        <v>0.29499999999999998</v>
      </c>
      <c r="J1147">
        <v>0</v>
      </c>
      <c r="K1147">
        <v>500</v>
      </c>
      <c r="L1147">
        <v>0</v>
      </c>
      <c r="M1147">
        <v>49.347506876699804</v>
      </c>
      <c r="N1147">
        <v>1.931</v>
      </c>
      <c r="O1147">
        <f>(Table1[[#This Row],[P]]&lt;&gt;0)*(Table1[[#This Row],[C]]&lt;&gt;0)</f>
        <v>0</v>
      </c>
      <c r="P1147">
        <f>NETWORKDAYS(Table1[[#This Row],[ts_event]],Table1[[#This Row],[option_expiry_date]])</f>
        <v>6</v>
      </c>
      <c r="Q1147">
        <f>Table1[[#This Row],[Column2]]/252</f>
        <v>2.3809523809523808E-2</v>
      </c>
      <c r="R1147" s="2" t="e">
        <f>IF(Table1[[#This Row],[CHECK2]]=0,NA(),
-(1/Table1[[#This Row],[T]])*LN((Table1[[#This Row],[S0]]-Table1[[#This Row],[C]]+Table1[[#This Row],[P]])/Table1[[#This Row],[K]])
)</f>
        <v>#N/A</v>
      </c>
    </row>
    <row r="1148" spans="1:18">
      <c r="A1148">
        <v>2</v>
      </c>
      <c r="B1148" t="s">
        <v>10</v>
      </c>
      <c r="C1148" s="1">
        <v>46162</v>
      </c>
      <c r="D1148" t="s">
        <v>14</v>
      </c>
      <c r="E1148">
        <v>44</v>
      </c>
      <c r="F1148" t="s">
        <v>12</v>
      </c>
      <c r="G1148" t="s">
        <v>13</v>
      </c>
      <c r="H1148" s="1">
        <v>46169</v>
      </c>
      <c r="I1148">
        <v>0.66793814432989596</v>
      </c>
      <c r="J1148">
        <v>0</v>
      </c>
      <c r="K1148">
        <v>1455</v>
      </c>
      <c r="L1148">
        <v>0</v>
      </c>
      <c r="M1148">
        <v>49.347506876699804</v>
      </c>
      <c r="N1148">
        <v>1.931</v>
      </c>
      <c r="O1148">
        <f>(Table1[[#This Row],[P]]&lt;&gt;0)*(Table1[[#This Row],[C]]&lt;&gt;0)</f>
        <v>0</v>
      </c>
      <c r="P1148">
        <f>NETWORKDAYS(Table1[[#This Row],[ts_event]],Table1[[#This Row],[option_expiry_date]])</f>
        <v>6</v>
      </c>
      <c r="Q1148">
        <f>Table1[[#This Row],[Column2]]/252</f>
        <v>2.3809523809523808E-2</v>
      </c>
      <c r="R1148" s="2" t="e">
        <f>IF(Table1[[#This Row],[CHECK2]]=0,NA(),
-(1/Table1[[#This Row],[T]])*LN((Table1[[#This Row],[S0]]-Table1[[#This Row],[C]]+Table1[[#This Row],[P]])/Table1[[#This Row],[K]])
)</f>
        <v>#N/A</v>
      </c>
    </row>
    <row r="1149" spans="1:18">
      <c r="A1149">
        <v>2</v>
      </c>
      <c r="B1149" t="s">
        <v>10</v>
      </c>
      <c r="C1149" s="1">
        <v>46162</v>
      </c>
      <c r="D1149" t="s">
        <v>14</v>
      </c>
      <c r="E1149">
        <v>45</v>
      </c>
      <c r="F1149" t="s">
        <v>12</v>
      </c>
      <c r="G1149" t="s">
        <v>13</v>
      </c>
      <c r="H1149" s="1">
        <v>46169</v>
      </c>
      <c r="I1149">
        <v>0.95401273885350302</v>
      </c>
      <c r="J1149">
        <v>0</v>
      </c>
      <c r="K1149">
        <v>3925</v>
      </c>
      <c r="L1149">
        <v>0</v>
      </c>
      <c r="M1149">
        <v>49.347506876699804</v>
      </c>
      <c r="N1149">
        <v>1.931</v>
      </c>
      <c r="O1149">
        <f>(Table1[[#This Row],[P]]&lt;&gt;0)*(Table1[[#This Row],[C]]&lt;&gt;0)</f>
        <v>0</v>
      </c>
      <c r="P1149">
        <f>NETWORKDAYS(Table1[[#This Row],[ts_event]],Table1[[#This Row],[option_expiry_date]])</f>
        <v>6</v>
      </c>
      <c r="Q1149">
        <f>Table1[[#This Row],[Column2]]/252</f>
        <v>2.3809523809523808E-2</v>
      </c>
      <c r="R1149" s="2" t="e">
        <f>IF(Table1[[#This Row],[CHECK2]]=0,NA(),
-(1/Table1[[#This Row],[T]])*LN((Table1[[#This Row],[S0]]-Table1[[#This Row],[C]]+Table1[[#This Row],[P]])/Table1[[#This Row],[K]])
)</f>
        <v>#N/A</v>
      </c>
    </row>
    <row r="1150" spans="1:18">
      <c r="A1150">
        <v>1</v>
      </c>
      <c r="B1150" t="s">
        <v>10</v>
      </c>
      <c r="C1150" s="1">
        <v>46162</v>
      </c>
      <c r="D1150" t="s">
        <v>14</v>
      </c>
      <c r="E1150">
        <v>46</v>
      </c>
      <c r="F1150" t="s">
        <v>12</v>
      </c>
      <c r="G1150" t="s">
        <v>13</v>
      </c>
      <c r="H1150" s="1">
        <v>46169</v>
      </c>
      <c r="I1150">
        <v>1.1299999999999999</v>
      </c>
      <c r="J1150">
        <v>0</v>
      </c>
      <c r="K1150">
        <v>1350</v>
      </c>
      <c r="L1150">
        <v>0</v>
      </c>
      <c r="M1150">
        <v>49.347506876699804</v>
      </c>
      <c r="N1150">
        <v>1.931</v>
      </c>
      <c r="O1150">
        <f>(Table1[[#This Row],[P]]&lt;&gt;0)*(Table1[[#This Row],[C]]&lt;&gt;0)</f>
        <v>0</v>
      </c>
      <c r="P1150">
        <f>NETWORKDAYS(Table1[[#This Row],[ts_event]],Table1[[#This Row],[option_expiry_date]])</f>
        <v>6</v>
      </c>
      <c r="Q1150">
        <f>Table1[[#This Row],[Column2]]/252</f>
        <v>2.3809523809523808E-2</v>
      </c>
      <c r="R1150" s="2" t="e">
        <f>IF(Table1[[#This Row],[CHECK2]]=0,NA(),
-(1/Table1[[#This Row],[T]])*LN((Table1[[#This Row],[S0]]-Table1[[#This Row],[C]]+Table1[[#This Row],[P]])/Table1[[#This Row],[K]])
)</f>
        <v>#N/A</v>
      </c>
    </row>
    <row r="1151" spans="1:18">
      <c r="A1151">
        <v>1</v>
      </c>
      <c r="B1151" t="s">
        <v>10</v>
      </c>
      <c r="C1151" s="1">
        <v>46162</v>
      </c>
      <c r="D1151" t="s">
        <v>14</v>
      </c>
      <c r="E1151">
        <v>47</v>
      </c>
      <c r="F1151" t="s">
        <v>12</v>
      </c>
      <c r="G1151" t="s">
        <v>13</v>
      </c>
      <c r="H1151" s="1">
        <v>46169</v>
      </c>
      <c r="I1151">
        <v>0.9</v>
      </c>
      <c r="J1151">
        <v>0</v>
      </c>
      <c r="K1151">
        <v>1060</v>
      </c>
      <c r="L1151">
        <v>0</v>
      </c>
      <c r="M1151">
        <v>49.347506876699804</v>
      </c>
      <c r="N1151">
        <v>1.931</v>
      </c>
      <c r="O1151">
        <f>(Table1[[#This Row],[P]]&lt;&gt;0)*(Table1[[#This Row],[C]]&lt;&gt;0)</f>
        <v>0</v>
      </c>
      <c r="P1151">
        <f>NETWORKDAYS(Table1[[#This Row],[ts_event]],Table1[[#This Row],[option_expiry_date]])</f>
        <v>6</v>
      </c>
      <c r="Q1151">
        <f>Table1[[#This Row],[Column2]]/252</f>
        <v>2.3809523809523808E-2</v>
      </c>
      <c r="R1151" s="2" t="e">
        <f>IF(Table1[[#This Row],[CHECK2]]=0,NA(),
-(1/Table1[[#This Row],[T]])*LN((Table1[[#This Row],[S0]]-Table1[[#This Row],[C]]+Table1[[#This Row],[P]])/Table1[[#This Row],[K]])
)</f>
        <v>#N/A</v>
      </c>
    </row>
    <row r="1152" spans="1:18">
      <c r="A1152">
        <v>2</v>
      </c>
      <c r="B1152" t="s">
        <v>10</v>
      </c>
      <c r="C1152" s="1">
        <v>46162</v>
      </c>
      <c r="D1152" t="s">
        <v>14</v>
      </c>
      <c r="E1152">
        <v>48</v>
      </c>
      <c r="F1152" t="s">
        <v>12</v>
      </c>
      <c r="G1152" t="s">
        <v>13</v>
      </c>
      <c r="H1152" s="1">
        <v>46169</v>
      </c>
      <c r="I1152">
        <v>1.71632947976878</v>
      </c>
      <c r="J1152">
        <v>0</v>
      </c>
      <c r="K1152">
        <v>865</v>
      </c>
      <c r="L1152">
        <v>0</v>
      </c>
      <c r="M1152">
        <v>49.347506876699804</v>
      </c>
      <c r="N1152">
        <v>1.931</v>
      </c>
      <c r="O1152">
        <f>(Table1[[#This Row],[P]]&lt;&gt;0)*(Table1[[#This Row],[C]]&lt;&gt;0)</f>
        <v>0</v>
      </c>
      <c r="P1152">
        <f>NETWORKDAYS(Table1[[#This Row],[ts_event]],Table1[[#This Row],[option_expiry_date]])</f>
        <v>6</v>
      </c>
      <c r="Q1152">
        <f>Table1[[#This Row],[Column2]]/252</f>
        <v>2.3809523809523808E-2</v>
      </c>
      <c r="R1152" s="2" t="e">
        <f>IF(Table1[[#This Row],[CHECK2]]=0,NA(),
-(1/Table1[[#This Row],[T]])*LN((Table1[[#This Row],[S0]]-Table1[[#This Row],[C]]+Table1[[#This Row],[P]])/Table1[[#This Row],[K]])
)</f>
        <v>#N/A</v>
      </c>
    </row>
    <row r="1153" spans="1:18">
      <c r="A1153">
        <v>1</v>
      </c>
      <c r="B1153" t="s">
        <v>10</v>
      </c>
      <c r="C1153" s="1">
        <v>46162</v>
      </c>
      <c r="D1153" t="s">
        <v>14</v>
      </c>
      <c r="E1153">
        <v>49</v>
      </c>
      <c r="F1153" t="s">
        <v>12</v>
      </c>
      <c r="G1153" t="s">
        <v>13</v>
      </c>
      <c r="H1153" s="1">
        <v>46169</v>
      </c>
      <c r="I1153">
        <v>1.5</v>
      </c>
      <c r="J1153">
        <v>0</v>
      </c>
      <c r="K1153">
        <v>200</v>
      </c>
      <c r="L1153">
        <v>0</v>
      </c>
      <c r="M1153">
        <v>49.347506876699804</v>
      </c>
      <c r="N1153">
        <v>1.931</v>
      </c>
      <c r="O1153">
        <f>(Table1[[#This Row],[P]]&lt;&gt;0)*(Table1[[#This Row],[C]]&lt;&gt;0)</f>
        <v>0</v>
      </c>
      <c r="P1153">
        <f>NETWORKDAYS(Table1[[#This Row],[ts_event]],Table1[[#This Row],[option_expiry_date]])</f>
        <v>6</v>
      </c>
      <c r="Q1153">
        <f>Table1[[#This Row],[Column2]]/252</f>
        <v>2.3809523809523808E-2</v>
      </c>
      <c r="R1153" s="2" t="e">
        <f>IF(Table1[[#This Row],[CHECK2]]=0,NA(),
-(1/Table1[[#This Row],[T]])*LN((Table1[[#This Row],[S0]]-Table1[[#This Row],[C]]+Table1[[#This Row],[P]])/Table1[[#This Row],[K]])
)</f>
        <v>#N/A</v>
      </c>
    </row>
    <row r="1154" spans="1:18">
      <c r="A1154">
        <v>4</v>
      </c>
      <c r="B1154" t="s">
        <v>10</v>
      </c>
      <c r="C1154" s="1">
        <v>46162</v>
      </c>
      <c r="D1154" t="s">
        <v>14</v>
      </c>
      <c r="E1154">
        <v>50</v>
      </c>
      <c r="F1154" t="s">
        <v>12</v>
      </c>
      <c r="G1154" t="s">
        <v>13</v>
      </c>
      <c r="H1154" s="1">
        <v>46169</v>
      </c>
      <c r="I1154">
        <v>1.895</v>
      </c>
      <c r="J1154">
        <v>2.04685714285714</v>
      </c>
      <c r="K1154">
        <v>2090</v>
      </c>
      <c r="L1154">
        <v>1750</v>
      </c>
      <c r="M1154">
        <v>49.347506876699804</v>
      </c>
      <c r="N1154">
        <v>1.931</v>
      </c>
      <c r="O1154">
        <f>(Table1[[#This Row],[P]]&lt;&gt;0)*(Table1[[#This Row],[C]]&lt;&gt;0)</f>
        <v>1</v>
      </c>
      <c r="P1154">
        <f>NETWORKDAYS(Table1[[#This Row],[ts_event]],Table1[[#This Row],[option_expiry_date]])</f>
        <v>6</v>
      </c>
      <c r="Q1154">
        <f>Table1[[#This Row],[Column2]]/252</f>
        <v>2.3809523809523808E-2</v>
      </c>
      <c r="R1154" s="2">
        <f>IF(Table1[[#This Row],[CHECK2]]=0,NA(),
-(1/Table1[[#This Row],[T]])*LN((Table1[[#This Row],[S0]]-Table1[[#This Row],[C]]+Table1[[#This Row],[P]])/Table1[[#This Row],[K]])
)</f>
        <v>0.68114784708660403</v>
      </c>
    </row>
    <row r="1155" spans="1:18">
      <c r="A1155">
        <v>1</v>
      </c>
      <c r="B1155" t="s">
        <v>10</v>
      </c>
      <c r="C1155" s="1">
        <v>46162</v>
      </c>
      <c r="D1155" t="s">
        <v>14</v>
      </c>
      <c r="E1155">
        <v>51</v>
      </c>
      <c r="F1155" t="s">
        <v>12</v>
      </c>
      <c r="G1155" t="s">
        <v>13</v>
      </c>
      <c r="H1155" s="1">
        <v>46169</v>
      </c>
      <c r="I1155">
        <v>0</v>
      </c>
      <c r="J1155">
        <v>1.59</v>
      </c>
      <c r="K1155">
        <v>0</v>
      </c>
      <c r="L1155">
        <v>50</v>
      </c>
      <c r="M1155">
        <v>49.347506876699804</v>
      </c>
      <c r="N1155">
        <v>1.931</v>
      </c>
      <c r="O1155">
        <f>(Table1[[#This Row],[P]]&lt;&gt;0)*(Table1[[#This Row],[C]]&lt;&gt;0)</f>
        <v>0</v>
      </c>
      <c r="P1155">
        <f>NETWORKDAYS(Table1[[#This Row],[ts_event]],Table1[[#This Row],[option_expiry_date]])</f>
        <v>6</v>
      </c>
      <c r="Q1155">
        <f>Table1[[#This Row],[Column2]]/252</f>
        <v>2.3809523809523808E-2</v>
      </c>
      <c r="R1155" s="2" t="e">
        <f>IF(Table1[[#This Row],[CHECK2]]=0,NA(),
-(1/Table1[[#This Row],[T]])*LN((Table1[[#This Row],[S0]]-Table1[[#This Row],[C]]+Table1[[#This Row],[P]])/Table1[[#This Row],[K]])
)</f>
        <v>#N/A</v>
      </c>
    </row>
    <row r="1156" spans="1:18">
      <c r="A1156">
        <v>2</v>
      </c>
      <c r="B1156" t="s">
        <v>10</v>
      </c>
      <c r="C1156" s="1">
        <v>46162</v>
      </c>
      <c r="D1156" t="s">
        <v>14</v>
      </c>
      <c r="E1156">
        <v>52</v>
      </c>
      <c r="F1156" t="s">
        <v>12</v>
      </c>
      <c r="G1156" t="s">
        <v>13</v>
      </c>
      <c r="H1156" s="1">
        <v>46169</v>
      </c>
      <c r="I1156">
        <v>4.0750000000000002</v>
      </c>
      <c r="J1156">
        <v>2.1</v>
      </c>
      <c r="K1156">
        <v>15</v>
      </c>
      <c r="L1156">
        <v>135</v>
      </c>
      <c r="M1156">
        <v>49.347506876699804</v>
      </c>
      <c r="N1156">
        <v>1.931</v>
      </c>
      <c r="O1156">
        <f>(Table1[[#This Row],[P]]&lt;&gt;0)*(Table1[[#This Row],[C]]&lt;&gt;0)</f>
        <v>1</v>
      </c>
      <c r="P1156">
        <f>NETWORKDAYS(Table1[[#This Row],[ts_event]],Table1[[#This Row],[option_expiry_date]])</f>
        <v>6</v>
      </c>
      <c r="Q1156">
        <f>Table1[[#This Row],[Column2]]/252</f>
        <v>2.3809523809523808E-2</v>
      </c>
      <c r="R1156" s="2">
        <f>IF(Table1[[#This Row],[CHECK2]]=0,NA(),
-(1/Table1[[#This Row],[T]])*LN((Table1[[#This Row],[S0]]-Table1[[#This Row],[C]]+Table1[[#This Row],[P]])/Table1[[#This Row],[K]])
)</f>
        <v>0.55080194731166987</v>
      </c>
    </row>
    <row r="1157" spans="1:18">
      <c r="A1157">
        <v>2</v>
      </c>
      <c r="B1157" t="s">
        <v>10</v>
      </c>
      <c r="C1157" s="1">
        <v>46162</v>
      </c>
      <c r="D1157" t="s">
        <v>14</v>
      </c>
      <c r="E1157">
        <v>53</v>
      </c>
      <c r="F1157" t="s">
        <v>12</v>
      </c>
      <c r="G1157" t="s">
        <v>13</v>
      </c>
      <c r="H1157" s="1">
        <v>46169</v>
      </c>
      <c r="I1157">
        <v>0</v>
      </c>
      <c r="J1157">
        <v>1.0442682926829201</v>
      </c>
      <c r="K1157">
        <v>0</v>
      </c>
      <c r="L1157">
        <v>2050</v>
      </c>
      <c r="M1157">
        <v>49.347506876699804</v>
      </c>
      <c r="N1157">
        <v>1.931</v>
      </c>
      <c r="O1157">
        <f>(Table1[[#This Row],[P]]&lt;&gt;0)*(Table1[[#This Row],[C]]&lt;&gt;0)</f>
        <v>0</v>
      </c>
      <c r="P1157">
        <f>NETWORKDAYS(Table1[[#This Row],[ts_event]],Table1[[#This Row],[option_expiry_date]])</f>
        <v>6</v>
      </c>
      <c r="Q1157">
        <f>Table1[[#This Row],[Column2]]/252</f>
        <v>2.3809523809523808E-2</v>
      </c>
      <c r="R1157" s="2" t="e">
        <f>IF(Table1[[#This Row],[CHECK2]]=0,NA(),
-(1/Table1[[#This Row],[T]])*LN((Table1[[#This Row],[S0]]-Table1[[#This Row],[C]]+Table1[[#This Row],[P]])/Table1[[#This Row],[K]])
)</f>
        <v>#N/A</v>
      </c>
    </row>
    <row r="1158" spans="1:18">
      <c r="A1158">
        <v>2</v>
      </c>
      <c r="B1158" t="s">
        <v>10</v>
      </c>
      <c r="C1158" s="1">
        <v>46162</v>
      </c>
      <c r="D1158" t="s">
        <v>14</v>
      </c>
      <c r="E1158">
        <v>55</v>
      </c>
      <c r="F1158" t="s">
        <v>12</v>
      </c>
      <c r="G1158" t="s">
        <v>13</v>
      </c>
      <c r="H1158" s="1">
        <v>46169</v>
      </c>
      <c r="I1158">
        <v>0</v>
      </c>
      <c r="J1158">
        <v>0.67232142857142796</v>
      </c>
      <c r="K1158">
        <v>0</v>
      </c>
      <c r="L1158">
        <v>1680</v>
      </c>
      <c r="M1158">
        <v>49.347506876699804</v>
      </c>
      <c r="N1158">
        <v>1.931</v>
      </c>
      <c r="O1158">
        <f>(Table1[[#This Row],[P]]&lt;&gt;0)*(Table1[[#This Row],[C]]&lt;&gt;0)</f>
        <v>0</v>
      </c>
      <c r="P1158">
        <f>NETWORKDAYS(Table1[[#This Row],[ts_event]],Table1[[#This Row],[option_expiry_date]])</f>
        <v>6</v>
      </c>
      <c r="Q1158">
        <f>Table1[[#This Row],[Column2]]/252</f>
        <v>2.3809523809523808E-2</v>
      </c>
      <c r="R1158" s="2" t="e">
        <f>IF(Table1[[#This Row],[CHECK2]]=0,NA(),
-(1/Table1[[#This Row],[T]])*LN((Table1[[#This Row],[S0]]-Table1[[#This Row],[C]]+Table1[[#This Row],[P]])/Table1[[#This Row],[K]])
)</f>
        <v>#N/A</v>
      </c>
    </row>
    <row r="1159" spans="1:18">
      <c r="A1159">
        <v>1</v>
      </c>
      <c r="B1159" t="s">
        <v>10</v>
      </c>
      <c r="C1159" s="1">
        <v>46162</v>
      </c>
      <c r="D1159" t="s">
        <v>14</v>
      </c>
      <c r="E1159">
        <v>57</v>
      </c>
      <c r="F1159" t="s">
        <v>12</v>
      </c>
      <c r="G1159" t="s">
        <v>13</v>
      </c>
      <c r="H1159" s="1">
        <v>46169</v>
      </c>
      <c r="I1159">
        <v>0</v>
      </c>
      <c r="J1159">
        <v>0.44</v>
      </c>
      <c r="K1159">
        <v>0</v>
      </c>
      <c r="L1159">
        <v>50</v>
      </c>
      <c r="M1159">
        <v>49.347506876699804</v>
      </c>
      <c r="N1159">
        <v>1.931</v>
      </c>
      <c r="O1159">
        <f>(Table1[[#This Row],[P]]&lt;&gt;0)*(Table1[[#This Row],[C]]&lt;&gt;0)</f>
        <v>0</v>
      </c>
      <c r="P1159">
        <f>NETWORKDAYS(Table1[[#This Row],[ts_event]],Table1[[#This Row],[option_expiry_date]])</f>
        <v>6</v>
      </c>
      <c r="Q1159">
        <f>Table1[[#This Row],[Column2]]/252</f>
        <v>2.3809523809523808E-2</v>
      </c>
      <c r="R1159" s="2" t="e">
        <f>IF(Table1[[#This Row],[CHECK2]]=0,NA(),
-(1/Table1[[#This Row],[T]])*LN((Table1[[#This Row],[S0]]-Table1[[#This Row],[C]]+Table1[[#This Row],[P]])/Table1[[#This Row],[K]])
)</f>
        <v>#N/A</v>
      </c>
    </row>
    <row r="1160" spans="1:18">
      <c r="A1160">
        <v>2</v>
      </c>
      <c r="B1160" t="s">
        <v>10</v>
      </c>
      <c r="C1160" s="1">
        <v>46162</v>
      </c>
      <c r="D1160" t="s">
        <v>14</v>
      </c>
      <c r="E1160">
        <v>60</v>
      </c>
      <c r="F1160" t="s">
        <v>12</v>
      </c>
      <c r="G1160" t="s">
        <v>13</v>
      </c>
      <c r="H1160" s="1">
        <v>46169</v>
      </c>
      <c r="I1160">
        <v>0</v>
      </c>
      <c r="J1160">
        <v>0.37937046004842601</v>
      </c>
      <c r="K1160">
        <v>0</v>
      </c>
      <c r="L1160">
        <v>2065</v>
      </c>
      <c r="M1160">
        <v>49.347506876699804</v>
      </c>
      <c r="N1160">
        <v>1.931</v>
      </c>
      <c r="O1160">
        <f>(Table1[[#This Row],[P]]&lt;&gt;0)*(Table1[[#This Row],[C]]&lt;&gt;0)</f>
        <v>0</v>
      </c>
      <c r="P1160">
        <f>NETWORKDAYS(Table1[[#This Row],[ts_event]],Table1[[#This Row],[option_expiry_date]])</f>
        <v>6</v>
      </c>
      <c r="Q1160">
        <f>Table1[[#This Row],[Column2]]/252</f>
        <v>2.3809523809523808E-2</v>
      </c>
      <c r="R1160" s="2" t="e">
        <f>IF(Table1[[#This Row],[CHECK2]]=0,NA(),
-(1/Table1[[#This Row],[T]])*LN((Table1[[#This Row],[S0]]-Table1[[#This Row],[C]]+Table1[[#This Row],[P]])/Table1[[#This Row],[K]])
)</f>
        <v>#N/A</v>
      </c>
    </row>
    <row r="1161" spans="1:18">
      <c r="A1161">
        <v>1</v>
      </c>
      <c r="B1161" t="s">
        <v>10</v>
      </c>
      <c r="C1161" s="1">
        <v>46162</v>
      </c>
      <c r="D1161" t="s">
        <v>14</v>
      </c>
      <c r="E1161">
        <v>62</v>
      </c>
      <c r="F1161" t="s">
        <v>12</v>
      </c>
      <c r="G1161" t="s">
        <v>13</v>
      </c>
      <c r="H1161" s="1">
        <v>46169</v>
      </c>
      <c r="I1161">
        <v>0</v>
      </c>
      <c r="J1161">
        <v>0.29499999999999998</v>
      </c>
      <c r="K1161">
        <v>0</v>
      </c>
      <c r="L1161">
        <v>135</v>
      </c>
      <c r="M1161">
        <v>49.347506876699804</v>
      </c>
      <c r="N1161">
        <v>1.931</v>
      </c>
      <c r="O1161">
        <f>(Table1[[#This Row],[P]]&lt;&gt;0)*(Table1[[#This Row],[C]]&lt;&gt;0)</f>
        <v>0</v>
      </c>
      <c r="P1161">
        <f>NETWORKDAYS(Table1[[#This Row],[ts_event]],Table1[[#This Row],[option_expiry_date]])</f>
        <v>6</v>
      </c>
      <c r="Q1161">
        <f>Table1[[#This Row],[Column2]]/252</f>
        <v>2.3809523809523808E-2</v>
      </c>
      <c r="R1161" s="2" t="e">
        <f>IF(Table1[[#This Row],[CHECK2]]=0,NA(),
-(1/Table1[[#This Row],[T]])*LN((Table1[[#This Row],[S0]]-Table1[[#This Row],[C]]+Table1[[#This Row],[P]])/Table1[[#This Row],[K]])
)</f>
        <v>#N/A</v>
      </c>
    </row>
    <row r="1162" spans="1:18">
      <c r="A1162">
        <v>1</v>
      </c>
      <c r="B1162" t="s">
        <v>10</v>
      </c>
      <c r="C1162" s="1">
        <v>46162</v>
      </c>
      <c r="D1162" t="s">
        <v>14</v>
      </c>
      <c r="E1162">
        <v>65</v>
      </c>
      <c r="F1162" t="s">
        <v>12</v>
      </c>
      <c r="G1162" t="s">
        <v>13</v>
      </c>
      <c r="H1162" s="1">
        <v>46169</v>
      </c>
      <c r="I1162">
        <v>0</v>
      </c>
      <c r="J1162">
        <v>0.22</v>
      </c>
      <c r="K1162">
        <v>0</v>
      </c>
      <c r="L1162">
        <v>1030</v>
      </c>
      <c r="M1162">
        <v>49.347506876699804</v>
      </c>
      <c r="N1162">
        <v>1.931</v>
      </c>
      <c r="O1162">
        <f>(Table1[[#This Row],[P]]&lt;&gt;0)*(Table1[[#This Row],[C]]&lt;&gt;0)</f>
        <v>0</v>
      </c>
      <c r="P1162">
        <f>NETWORKDAYS(Table1[[#This Row],[ts_event]],Table1[[#This Row],[option_expiry_date]])</f>
        <v>6</v>
      </c>
      <c r="Q1162">
        <f>Table1[[#This Row],[Column2]]/252</f>
        <v>2.3809523809523808E-2</v>
      </c>
      <c r="R1162" s="2" t="e">
        <f>IF(Table1[[#This Row],[CHECK2]]=0,NA(),
-(1/Table1[[#This Row],[T]])*LN((Table1[[#This Row],[S0]]-Table1[[#This Row],[C]]+Table1[[#This Row],[P]])/Table1[[#This Row],[K]])
)</f>
        <v>#N/A</v>
      </c>
    </row>
    <row r="1163" spans="1:18">
      <c r="A1163">
        <v>2</v>
      </c>
      <c r="B1163" t="s">
        <v>10</v>
      </c>
      <c r="C1163" s="1">
        <v>46162</v>
      </c>
      <c r="D1163" t="s">
        <v>14</v>
      </c>
      <c r="E1163">
        <v>70</v>
      </c>
      <c r="F1163" t="s">
        <v>12</v>
      </c>
      <c r="G1163" t="s">
        <v>13</v>
      </c>
      <c r="H1163" s="1">
        <v>46169</v>
      </c>
      <c r="I1163">
        <v>0</v>
      </c>
      <c r="J1163">
        <v>0.117066666666666</v>
      </c>
      <c r="K1163">
        <v>0</v>
      </c>
      <c r="L1163">
        <v>1875</v>
      </c>
      <c r="M1163">
        <v>49.347506876699804</v>
      </c>
      <c r="N1163">
        <v>1.931</v>
      </c>
      <c r="O1163">
        <f>(Table1[[#This Row],[P]]&lt;&gt;0)*(Table1[[#This Row],[C]]&lt;&gt;0)</f>
        <v>0</v>
      </c>
      <c r="P1163">
        <f>NETWORKDAYS(Table1[[#This Row],[ts_event]],Table1[[#This Row],[option_expiry_date]])</f>
        <v>6</v>
      </c>
      <c r="Q1163">
        <f>Table1[[#This Row],[Column2]]/252</f>
        <v>2.3809523809523808E-2</v>
      </c>
      <c r="R1163" s="2" t="e">
        <f>IF(Table1[[#This Row],[CHECK2]]=0,NA(),
-(1/Table1[[#This Row],[T]])*LN((Table1[[#This Row],[S0]]-Table1[[#This Row],[C]]+Table1[[#This Row],[P]])/Table1[[#This Row],[K]])
)</f>
        <v>#N/A</v>
      </c>
    </row>
    <row r="1164" spans="1:18">
      <c r="A1164">
        <v>2</v>
      </c>
      <c r="B1164" t="s">
        <v>10</v>
      </c>
      <c r="C1164" s="1">
        <v>46162</v>
      </c>
      <c r="D1164" t="s">
        <v>14</v>
      </c>
      <c r="E1164">
        <v>75</v>
      </c>
      <c r="F1164" t="s">
        <v>12</v>
      </c>
      <c r="G1164" t="s">
        <v>13</v>
      </c>
      <c r="H1164" s="1">
        <v>46169</v>
      </c>
      <c r="I1164">
        <v>0</v>
      </c>
      <c r="J1164">
        <v>5.1388888888888803E-2</v>
      </c>
      <c r="K1164">
        <v>0</v>
      </c>
      <c r="L1164">
        <v>1800</v>
      </c>
      <c r="M1164">
        <v>49.347506876699804</v>
      </c>
      <c r="N1164">
        <v>1.931</v>
      </c>
      <c r="O1164">
        <f>(Table1[[#This Row],[P]]&lt;&gt;0)*(Table1[[#This Row],[C]]&lt;&gt;0)</f>
        <v>0</v>
      </c>
      <c r="P1164">
        <f>NETWORKDAYS(Table1[[#This Row],[ts_event]],Table1[[#This Row],[option_expiry_date]])</f>
        <v>6</v>
      </c>
      <c r="Q1164">
        <f>Table1[[#This Row],[Column2]]/252</f>
        <v>2.3809523809523808E-2</v>
      </c>
      <c r="R1164" s="2" t="e">
        <f>IF(Table1[[#This Row],[CHECK2]]=0,NA(),
-(1/Table1[[#This Row],[T]])*LN((Table1[[#This Row],[S0]]-Table1[[#This Row],[C]]+Table1[[#This Row],[P]])/Table1[[#This Row],[K]])
)</f>
        <v>#N/A</v>
      </c>
    </row>
    <row r="1165" spans="1:18">
      <c r="A1165">
        <v>1</v>
      </c>
      <c r="B1165" t="s">
        <v>10</v>
      </c>
      <c r="C1165" s="1">
        <v>46162</v>
      </c>
      <c r="D1165" t="s">
        <v>14</v>
      </c>
      <c r="E1165">
        <v>80</v>
      </c>
      <c r="F1165" t="s">
        <v>12</v>
      </c>
      <c r="G1165" t="s">
        <v>13</v>
      </c>
      <c r="H1165" s="1">
        <v>46169</v>
      </c>
      <c r="I1165">
        <v>0</v>
      </c>
      <c r="J1165">
        <v>7.0000000000000007E-2</v>
      </c>
      <c r="K1165">
        <v>0</v>
      </c>
      <c r="L1165">
        <v>100</v>
      </c>
      <c r="M1165">
        <v>49.347506876699804</v>
      </c>
      <c r="N1165">
        <v>1.931</v>
      </c>
      <c r="O1165">
        <f>(Table1[[#This Row],[P]]&lt;&gt;0)*(Table1[[#This Row],[C]]&lt;&gt;0)</f>
        <v>0</v>
      </c>
      <c r="P1165">
        <f>NETWORKDAYS(Table1[[#This Row],[ts_event]],Table1[[#This Row],[option_expiry_date]])</f>
        <v>6</v>
      </c>
      <c r="Q1165">
        <f>Table1[[#This Row],[Column2]]/252</f>
        <v>2.3809523809523808E-2</v>
      </c>
      <c r="R1165" s="2" t="e">
        <f>IF(Table1[[#This Row],[CHECK2]]=0,NA(),
-(1/Table1[[#This Row],[T]])*LN((Table1[[#This Row],[S0]]-Table1[[#This Row],[C]]+Table1[[#This Row],[P]])/Table1[[#This Row],[K]])
)</f>
        <v>#N/A</v>
      </c>
    </row>
    <row r="1166" spans="1:18">
      <c r="A1166">
        <v>1</v>
      </c>
      <c r="B1166" t="s">
        <v>10</v>
      </c>
      <c r="C1166" s="1">
        <v>46162</v>
      </c>
      <c r="D1166" t="s">
        <v>15</v>
      </c>
      <c r="E1166">
        <v>30</v>
      </c>
      <c r="F1166" t="s">
        <v>12</v>
      </c>
      <c r="G1166" t="s">
        <v>13</v>
      </c>
      <c r="H1166" s="1">
        <v>46199</v>
      </c>
      <c r="I1166">
        <v>0</v>
      </c>
      <c r="J1166">
        <v>21.57</v>
      </c>
      <c r="K1166">
        <v>0</v>
      </c>
      <c r="L1166">
        <v>50</v>
      </c>
      <c r="M1166">
        <v>49.098069910940403</v>
      </c>
      <c r="N1166">
        <v>1.931</v>
      </c>
      <c r="O1166">
        <f>(Table1[[#This Row],[P]]&lt;&gt;0)*(Table1[[#This Row],[C]]&lt;&gt;0)</f>
        <v>0</v>
      </c>
      <c r="P1166">
        <f>NETWORKDAYS(Table1[[#This Row],[ts_event]],Table1[[#This Row],[option_expiry_date]])</f>
        <v>28</v>
      </c>
      <c r="Q1166">
        <f>Table1[[#This Row],[Column2]]/252</f>
        <v>0.1111111111111111</v>
      </c>
      <c r="R1166" s="2" t="e">
        <f>IF(Table1[[#This Row],[CHECK2]]=0,NA(),
-(1/Table1[[#This Row],[T]])*LN((Table1[[#This Row],[S0]]-Table1[[#This Row],[C]]+Table1[[#This Row],[P]])/Table1[[#This Row],[K]])
)</f>
        <v>#N/A</v>
      </c>
    </row>
    <row r="1167" spans="1:18">
      <c r="A1167">
        <v>1</v>
      </c>
      <c r="B1167" t="s">
        <v>10</v>
      </c>
      <c r="C1167" s="1">
        <v>46162</v>
      </c>
      <c r="D1167" t="s">
        <v>15</v>
      </c>
      <c r="E1167">
        <v>33</v>
      </c>
      <c r="F1167" t="s">
        <v>12</v>
      </c>
      <c r="G1167" t="s">
        <v>13</v>
      </c>
      <c r="H1167" s="1">
        <v>46199</v>
      </c>
      <c r="I1167">
        <v>0.20499999999999999</v>
      </c>
      <c r="J1167">
        <v>0</v>
      </c>
      <c r="K1167">
        <v>15</v>
      </c>
      <c r="L1167">
        <v>0</v>
      </c>
      <c r="M1167">
        <v>49.098069910940403</v>
      </c>
      <c r="N1167">
        <v>1.931</v>
      </c>
      <c r="O1167">
        <f>(Table1[[#This Row],[P]]&lt;&gt;0)*(Table1[[#This Row],[C]]&lt;&gt;0)</f>
        <v>0</v>
      </c>
      <c r="P1167">
        <f>NETWORKDAYS(Table1[[#This Row],[ts_event]],Table1[[#This Row],[option_expiry_date]])</f>
        <v>28</v>
      </c>
      <c r="Q1167">
        <f>Table1[[#This Row],[Column2]]/252</f>
        <v>0.1111111111111111</v>
      </c>
      <c r="R1167" s="2" t="e">
        <f>IF(Table1[[#This Row],[CHECK2]]=0,NA(),
-(1/Table1[[#This Row],[T]])*LN((Table1[[#This Row],[S0]]-Table1[[#This Row],[C]]+Table1[[#This Row],[P]])/Table1[[#This Row],[K]])
)</f>
        <v>#N/A</v>
      </c>
    </row>
    <row r="1168" spans="1:18">
      <c r="A1168">
        <v>2</v>
      </c>
      <c r="B1168" t="s">
        <v>10</v>
      </c>
      <c r="C1168" s="1">
        <v>46162</v>
      </c>
      <c r="D1168" t="s">
        <v>15</v>
      </c>
      <c r="E1168">
        <v>34</v>
      </c>
      <c r="F1168" t="s">
        <v>12</v>
      </c>
      <c r="G1168" t="s">
        <v>13</v>
      </c>
      <c r="H1168" s="1">
        <v>46199</v>
      </c>
      <c r="I1168">
        <v>2.4500000000000002</v>
      </c>
      <c r="J1168">
        <v>17.7</v>
      </c>
      <c r="K1168">
        <v>1400</v>
      </c>
      <c r="L1168">
        <v>100</v>
      </c>
      <c r="M1168">
        <v>49.098069910940403</v>
      </c>
      <c r="N1168">
        <v>1.931</v>
      </c>
      <c r="O1168">
        <f>(Table1[[#This Row],[P]]&lt;&gt;0)*(Table1[[#This Row],[C]]&lt;&gt;0)</f>
        <v>1</v>
      </c>
      <c r="P1168">
        <f>NETWORKDAYS(Table1[[#This Row],[ts_event]],Table1[[#This Row],[option_expiry_date]])</f>
        <v>28</v>
      </c>
      <c r="Q1168">
        <f>Table1[[#This Row],[Column2]]/252</f>
        <v>0.1111111111111111</v>
      </c>
      <c r="R1168" s="2">
        <f>IF(Table1[[#This Row],[CHECK2]]=0,NA(),
-(1/Table1[[#This Row],[T]])*LN((Table1[[#This Row],[S0]]-Table1[[#This Row],[C]]+Table1[[#This Row],[P]])/Table1[[#This Row],[K]])
)</f>
        <v>4.0306911864087323E-2</v>
      </c>
    </row>
    <row r="1169" spans="1:18">
      <c r="A1169">
        <v>1</v>
      </c>
      <c r="B1169" t="s">
        <v>10</v>
      </c>
      <c r="C1169" s="1">
        <v>46162</v>
      </c>
      <c r="D1169" t="s">
        <v>15</v>
      </c>
      <c r="E1169">
        <v>35</v>
      </c>
      <c r="F1169" t="s">
        <v>12</v>
      </c>
      <c r="G1169" t="s">
        <v>13</v>
      </c>
      <c r="H1169" s="1">
        <v>46199</v>
      </c>
      <c r="I1169">
        <v>0.3</v>
      </c>
      <c r="J1169">
        <v>0</v>
      </c>
      <c r="K1169">
        <v>50</v>
      </c>
      <c r="L1169">
        <v>0</v>
      </c>
      <c r="M1169">
        <v>49.098069910940403</v>
      </c>
      <c r="N1169">
        <v>1.931</v>
      </c>
      <c r="O1169">
        <f>(Table1[[#This Row],[P]]&lt;&gt;0)*(Table1[[#This Row],[C]]&lt;&gt;0)</f>
        <v>0</v>
      </c>
      <c r="P1169">
        <f>NETWORKDAYS(Table1[[#This Row],[ts_event]],Table1[[#This Row],[option_expiry_date]])</f>
        <v>28</v>
      </c>
      <c r="Q1169">
        <f>Table1[[#This Row],[Column2]]/252</f>
        <v>0.1111111111111111</v>
      </c>
      <c r="R1169" s="2" t="e">
        <f>IF(Table1[[#This Row],[CHECK2]]=0,NA(),
-(1/Table1[[#This Row],[T]])*LN((Table1[[#This Row],[S0]]-Table1[[#This Row],[C]]+Table1[[#This Row],[P]])/Table1[[#This Row],[K]])
)</f>
        <v>#N/A</v>
      </c>
    </row>
    <row r="1170" spans="1:18">
      <c r="A1170">
        <v>1</v>
      </c>
      <c r="B1170" t="s">
        <v>10</v>
      </c>
      <c r="C1170" s="1">
        <v>46162</v>
      </c>
      <c r="D1170" t="s">
        <v>15</v>
      </c>
      <c r="E1170">
        <v>36</v>
      </c>
      <c r="F1170" t="s">
        <v>12</v>
      </c>
      <c r="G1170" t="s">
        <v>13</v>
      </c>
      <c r="H1170" s="1">
        <v>46199</v>
      </c>
      <c r="I1170">
        <v>0.35</v>
      </c>
      <c r="J1170">
        <v>0</v>
      </c>
      <c r="K1170">
        <v>200</v>
      </c>
      <c r="L1170">
        <v>0</v>
      </c>
      <c r="M1170">
        <v>49.098069910940403</v>
      </c>
      <c r="N1170">
        <v>1.931</v>
      </c>
      <c r="O1170">
        <f>(Table1[[#This Row],[P]]&lt;&gt;0)*(Table1[[#This Row],[C]]&lt;&gt;0)</f>
        <v>0</v>
      </c>
      <c r="P1170">
        <f>NETWORKDAYS(Table1[[#This Row],[ts_event]],Table1[[#This Row],[option_expiry_date]])</f>
        <v>28</v>
      </c>
      <c r="Q1170">
        <f>Table1[[#This Row],[Column2]]/252</f>
        <v>0.1111111111111111</v>
      </c>
      <c r="R1170" s="2" t="e">
        <f>IF(Table1[[#This Row],[CHECK2]]=0,NA(),
-(1/Table1[[#This Row],[T]])*LN((Table1[[#This Row],[S0]]-Table1[[#This Row],[C]]+Table1[[#This Row],[P]])/Table1[[#This Row],[K]])
)</f>
        <v>#N/A</v>
      </c>
    </row>
    <row r="1171" spans="1:18">
      <c r="A1171">
        <v>1</v>
      </c>
      <c r="B1171" t="s">
        <v>10</v>
      </c>
      <c r="C1171" s="1">
        <v>46162</v>
      </c>
      <c r="D1171" t="s">
        <v>15</v>
      </c>
      <c r="E1171">
        <v>37</v>
      </c>
      <c r="F1171" t="s">
        <v>12</v>
      </c>
      <c r="G1171" t="s">
        <v>13</v>
      </c>
      <c r="H1171" s="1">
        <v>46199</v>
      </c>
      <c r="I1171">
        <v>0</v>
      </c>
      <c r="J1171">
        <v>14.9</v>
      </c>
      <c r="K1171">
        <v>0</v>
      </c>
      <c r="L1171">
        <v>50</v>
      </c>
      <c r="M1171">
        <v>49.098069910940403</v>
      </c>
      <c r="N1171">
        <v>1.931</v>
      </c>
      <c r="O1171">
        <f>(Table1[[#This Row],[P]]&lt;&gt;0)*(Table1[[#This Row],[C]]&lt;&gt;0)</f>
        <v>0</v>
      </c>
      <c r="P1171">
        <f>NETWORKDAYS(Table1[[#This Row],[ts_event]],Table1[[#This Row],[option_expiry_date]])</f>
        <v>28</v>
      </c>
      <c r="Q1171">
        <f>Table1[[#This Row],[Column2]]/252</f>
        <v>0.1111111111111111</v>
      </c>
      <c r="R1171" s="2" t="e">
        <f>IF(Table1[[#This Row],[CHECK2]]=0,NA(),
-(1/Table1[[#This Row],[T]])*LN((Table1[[#This Row],[S0]]-Table1[[#This Row],[C]]+Table1[[#This Row],[P]])/Table1[[#This Row],[K]])
)</f>
        <v>#N/A</v>
      </c>
    </row>
    <row r="1172" spans="1:18">
      <c r="A1172">
        <v>2</v>
      </c>
      <c r="B1172" t="s">
        <v>10</v>
      </c>
      <c r="C1172" s="1">
        <v>46162</v>
      </c>
      <c r="D1172" t="s">
        <v>15</v>
      </c>
      <c r="E1172">
        <v>40</v>
      </c>
      <c r="F1172" t="s">
        <v>12</v>
      </c>
      <c r="G1172" t="s">
        <v>13</v>
      </c>
      <c r="H1172" s="1">
        <v>46199</v>
      </c>
      <c r="I1172">
        <v>0.94629259694476997</v>
      </c>
      <c r="J1172">
        <v>0</v>
      </c>
      <c r="K1172">
        <v>4255</v>
      </c>
      <c r="L1172">
        <v>0</v>
      </c>
      <c r="M1172">
        <v>49.098069910940403</v>
      </c>
      <c r="N1172">
        <v>1.931</v>
      </c>
      <c r="O1172">
        <f>(Table1[[#This Row],[P]]&lt;&gt;0)*(Table1[[#This Row],[C]]&lt;&gt;0)</f>
        <v>0</v>
      </c>
      <c r="P1172">
        <f>NETWORKDAYS(Table1[[#This Row],[ts_event]],Table1[[#This Row],[option_expiry_date]])</f>
        <v>28</v>
      </c>
      <c r="Q1172">
        <f>Table1[[#This Row],[Column2]]/252</f>
        <v>0.1111111111111111</v>
      </c>
      <c r="R1172" s="2" t="e">
        <f>IF(Table1[[#This Row],[CHECK2]]=0,NA(),
-(1/Table1[[#This Row],[T]])*LN((Table1[[#This Row],[S0]]-Table1[[#This Row],[C]]+Table1[[#This Row],[P]])/Table1[[#This Row],[K]])
)</f>
        <v>#N/A</v>
      </c>
    </row>
    <row r="1173" spans="1:18">
      <c r="A1173">
        <v>1</v>
      </c>
      <c r="B1173" t="s">
        <v>10</v>
      </c>
      <c r="C1173" s="1">
        <v>46162</v>
      </c>
      <c r="D1173" t="s">
        <v>15</v>
      </c>
      <c r="E1173">
        <v>43</v>
      </c>
      <c r="F1173" t="s">
        <v>12</v>
      </c>
      <c r="G1173" t="s">
        <v>13</v>
      </c>
      <c r="H1173" s="1">
        <v>46199</v>
      </c>
      <c r="I1173">
        <v>1.6</v>
      </c>
      <c r="J1173">
        <v>0</v>
      </c>
      <c r="K1173">
        <v>200</v>
      </c>
      <c r="L1173">
        <v>0</v>
      </c>
      <c r="M1173">
        <v>49.098069910940403</v>
      </c>
      <c r="N1173">
        <v>1.931</v>
      </c>
      <c r="O1173">
        <f>(Table1[[#This Row],[P]]&lt;&gt;0)*(Table1[[#This Row],[C]]&lt;&gt;0)</f>
        <v>0</v>
      </c>
      <c r="P1173">
        <f>NETWORKDAYS(Table1[[#This Row],[ts_event]],Table1[[#This Row],[option_expiry_date]])</f>
        <v>28</v>
      </c>
      <c r="Q1173">
        <f>Table1[[#This Row],[Column2]]/252</f>
        <v>0.1111111111111111</v>
      </c>
      <c r="R1173" s="2" t="e">
        <f>IF(Table1[[#This Row],[CHECK2]]=0,NA(),
-(1/Table1[[#This Row],[T]])*LN((Table1[[#This Row],[S0]]-Table1[[#This Row],[C]]+Table1[[#This Row],[P]])/Table1[[#This Row],[K]])
)</f>
        <v>#N/A</v>
      </c>
    </row>
    <row r="1174" spans="1:18">
      <c r="A1174">
        <v>1</v>
      </c>
      <c r="B1174" t="s">
        <v>10</v>
      </c>
      <c r="C1174" s="1">
        <v>46162</v>
      </c>
      <c r="D1174" t="s">
        <v>15</v>
      </c>
      <c r="E1174">
        <v>45</v>
      </c>
      <c r="F1174" t="s">
        <v>12</v>
      </c>
      <c r="G1174" t="s">
        <v>13</v>
      </c>
      <c r="H1174" s="1">
        <v>46199</v>
      </c>
      <c r="I1174">
        <v>3</v>
      </c>
      <c r="J1174">
        <v>0</v>
      </c>
      <c r="K1174">
        <v>1305</v>
      </c>
      <c r="L1174">
        <v>0</v>
      </c>
      <c r="M1174">
        <v>49.098069910940403</v>
      </c>
      <c r="N1174">
        <v>1.931</v>
      </c>
      <c r="O1174">
        <f>(Table1[[#This Row],[P]]&lt;&gt;0)*(Table1[[#This Row],[C]]&lt;&gt;0)</f>
        <v>0</v>
      </c>
      <c r="P1174">
        <f>NETWORKDAYS(Table1[[#This Row],[ts_event]],Table1[[#This Row],[option_expiry_date]])</f>
        <v>28</v>
      </c>
      <c r="Q1174">
        <f>Table1[[#This Row],[Column2]]/252</f>
        <v>0.1111111111111111</v>
      </c>
      <c r="R1174" s="2" t="e">
        <f>IF(Table1[[#This Row],[CHECK2]]=0,NA(),
-(1/Table1[[#This Row],[T]])*LN((Table1[[#This Row],[S0]]-Table1[[#This Row],[C]]+Table1[[#This Row],[P]])/Table1[[#This Row],[K]])
)</f>
        <v>#N/A</v>
      </c>
    </row>
    <row r="1175" spans="1:18">
      <c r="A1175">
        <v>1</v>
      </c>
      <c r="B1175" t="s">
        <v>10</v>
      </c>
      <c r="C1175" s="1">
        <v>46162</v>
      </c>
      <c r="D1175" t="s">
        <v>15</v>
      </c>
      <c r="E1175">
        <v>46</v>
      </c>
      <c r="F1175" t="s">
        <v>12</v>
      </c>
      <c r="G1175" t="s">
        <v>13</v>
      </c>
      <c r="H1175" s="1">
        <v>46199</v>
      </c>
      <c r="I1175">
        <v>2.7749999999999999</v>
      </c>
      <c r="J1175">
        <v>0</v>
      </c>
      <c r="K1175">
        <v>1100</v>
      </c>
      <c r="L1175">
        <v>0</v>
      </c>
      <c r="M1175">
        <v>49.098069910940403</v>
      </c>
      <c r="N1175">
        <v>1.931</v>
      </c>
      <c r="O1175">
        <f>(Table1[[#This Row],[P]]&lt;&gt;0)*(Table1[[#This Row],[C]]&lt;&gt;0)</f>
        <v>0</v>
      </c>
      <c r="P1175">
        <f>NETWORKDAYS(Table1[[#This Row],[ts_event]],Table1[[#This Row],[option_expiry_date]])</f>
        <v>28</v>
      </c>
      <c r="Q1175">
        <f>Table1[[#This Row],[Column2]]/252</f>
        <v>0.1111111111111111</v>
      </c>
      <c r="R1175" s="2" t="e">
        <f>IF(Table1[[#This Row],[CHECK2]]=0,NA(),
-(1/Table1[[#This Row],[T]])*LN((Table1[[#This Row],[S0]]-Table1[[#This Row],[C]]+Table1[[#This Row],[P]])/Table1[[#This Row],[K]])
)</f>
        <v>#N/A</v>
      </c>
    </row>
    <row r="1176" spans="1:18">
      <c r="A1176">
        <v>1</v>
      </c>
      <c r="B1176" t="s">
        <v>10</v>
      </c>
      <c r="C1176" s="1">
        <v>46162</v>
      </c>
      <c r="D1176" t="s">
        <v>15</v>
      </c>
      <c r="E1176">
        <v>48</v>
      </c>
      <c r="F1176" t="s">
        <v>12</v>
      </c>
      <c r="G1176" t="s">
        <v>13</v>
      </c>
      <c r="H1176" s="1">
        <v>46199</v>
      </c>
      <c r="I1176">
        <v>3.69</v>
      </c>
      <c r="J1176">
        <v>0</v>
      </c>
      <c r="K1176">
        <v>40</v>
      </c>
      <c r="L1176">
        <v>0</v>
      </c>
      <c r="M1176">
        <v>49.098069910940403</v>
      </c>
      <c r="N1176">
        <v>1.931</v>
      </c>
      <c r="O1176">
        <f>(Table1[[#This Row],[P]]&lt;&gt;0)*(Table1[[#This Row],[C]]&lt;&gt;0)</f>
        <v>0</v>
      </c>
      <c r="P1176">
        <f>NETWORKDAYS(Table1[[#This Row],[ts_event]],Table1[[#This Row],[option_expiry_date]])</f>
        <v>28</v>
      </c>
      <c r="Q1176">
        <f>Table1[[#This Row],[Column2]]/252</f>
        <v>0.1111111111111111</v>
      </c>
      <c r="R1176" s="2" t="e">
        <f>IF(Table1[[#This Row],[CHECK2]]=0,NA(),
-(1/Table1[[#This Row],[T]])*LN((Table1[[#This Row],[S0]]-Table1[[#This Row],[C]]+Table1[[#This Row],[P]])/Table1[[#This Row],[K]])
)</f>
        <v>#N/A</v>
      </c>
    </row>
    <row r="1177" spans="1:18">
      <c r="A1177">
        <v>3</v>
      </c>
      <c r="B1177" t="s">
        <v>10</v>
      </c>
      <c r="C1177" s="1">
        <v>46162</v>
      </c>
      <c r="D1177" t="s">
        <v>15</v>
      </c>
      <c r="E1177">
        <v>50</v>
      </c>
      <c r="F1177" t="s">
        <v>12</v>
      </c>
      <c r="G1177" t="s">
        <v>13</v>
      </c>
      <c r="H1177" s="1">
        <v>46199</v>
      </c>
      <c r="I1177">
        <v>4.95</v>
      </c>
      <c r="J1177">
        <v>5.3436734693877499</v>
      </c>
      <c r="K1177">
        <v>800</v>
      </c>
      <c r="L1177">
        <v>1225</v>
      </c>
      <c r="M1177">
        <v>49.098069910940403</v>
      </c>
      <c r="N1177">
        <v>1.931</v>
      </c>
      <c r="O1177">
        <f>(Table1[[#This Row],[P]]&lt;&gt;0)*(Table1[[#This Row],[C]]&lt;&gt;0)</f>
        <v>1</v>
      </c>
      <c r="P1177">
        <f>NETWORKDAYS(Table1[[#This Row],[ts_event]],Table1[[#This Row],[option_expiry_date]])</f>
        <v>28</v>
      </c>
      <c r="Q1177">
        <f>Table1[[#This Row],[Column2]]/252</f>
        <v>0.1111111111111111</v>
      </c>
      <c r="R1177" s="2">
        <f>IF(Table1[[#This Row],[CHECK2]]=0,NA(),
-(1/Table1[[#This Row],[T]])*LN((Table1[[#This Row],[S0]]-Table1[[#This Row],[C]]+Table1[[#This Row],[P]])/Table1[[#This Row],[K]])
)</f>
        <v>0.23628333066294677</v>
      </c>
    </row>
    <row r="1178" spans="1:18">
      <c r="A1178">
        <v>2</v>
      </c>
      <c r="B1178" t="s">
        <v>10</v>
      </c>
      <c r="C1178" s="1">
        <v>46162</v>
      </c>
      <c r="D1178" t="s">
        <v>15</v>
      </c>
      <c r="E1178">
        <v>51</v>
      </c>
      <c r="F1178" t="s">
        <v>12</v>
      </c>
      <c r="G1178" t="s">
        <v>13</v>
      </c>
      <c r="H1178" s="1">
        <v>46199</v>
      </c>
      <c r="I1178">
        <v>5.6</v>
      </c>
      <c r="J1178">
        <v>5.6</v>
      </c>
      <c r="K1178">
        <v>250</v>
      </c>
      <c r="L1178">
        <v>250</v>
      </c>
      <c r="M1178">
        <v>49.098069910940403</v>
      </c>
      <c r="N1178">
        <v>1.931</v>
      </c>
      <c r="O1178">
        <f>(Table1[[#This Row],[P]]&lt;&gt;0)*(Table1[[#This Row],[C]]&lt;&gt;0)</f>
        <v>1</v>
      </c>
      <c r="P1178">
        <f>NETWORKDAYS(Table1[[#This Row],[ts_event]],Table1[[#This Row],[option_expiry_date]])</f>
        <v>28</v>
      </c>
      <c r="Q1178">
        <f>Table1[[#This Row],[Column2]]/252</f>
        <v>0.1111111111111111</v>
      </c>
      <c r="R1178" s="2">
        <f>IF(Table1[[#This Row],[CHECK2]]=0,NA(),
-(1/Table1[[#This Row],[T]])*LN((Table1[[#This Row],[S0]]-Table1[[#This Row],[C]]+Table1[[#This Row],[P]])/Table1[[#This Row],[K]])
)</f>
        <v>0.3420531724136962</v>
      </c>
    </row>
    <row r="1179" spans="1:18">
      <c r="A1179">
        <v>1</v>
      </c>
      <c r="B1179" t="s">
        <v>10</v>
      </c>
      <c r="C1179" s="1">
        <v>46162</v>
      </c>
      <c r="D1179" t="s">
        <v>15</v>
      </c>
      <c r="E1179">
        <v>52</v>
      </c>
      <c r="F1179" t="s">
        <v>12</v>
      </c>
      <c r="G1179" t="s">
        <v>13</v>
      </c>
      <c r="H1179" s="1">
        <v>46199</v>
      </c>
      <c r="I1179">
        <v>0</v>
      </c>
      <c r="J1179">
        <v>5.2</v>
      </c>
      <c r="K1179">
        <v>0</v>
      </c>
      <c r="L1179">
        <v>100</v>
      </c>
      <c r="M1179">
        <v>49.098069910940403</v>
      </c>
      <c r="N1179">
        <v>1.931</v>
      </c>
      <c r="O1179">
        <f>(Table1[[#This Row],[P]]&lt;&gt;0)*(Table1[[#This Row],[C]]&lt;&gt;0)</f>
        <v>0</v>
      </c>
      <c r="P1179">
        <f>NETWORKDAYS(Table1[[#This Row],[ts_event]],Table1[[#This Row],[option_expiry_date]])</f>
        <v>28</v>
      </c>
      <c r="Q1179">
        <f>Table1[[#This Row],[Column2]]/252</f>
        <v>0.1111111111111111</v>
      </c>
      <c r="R1179" s="2" t="e">
        <f>IF(Table1[[#This Row],[CHECK2]]=0,NA(),
-(1/Table1[[#This Row],[T]])*LN((Table1[[#This Row],[S0]]-Table1[[#This Row],[C]]+Table1[[#This Row],[P]])/Table1[[#This Row],[K]])
)</f>
        <v>#N/A</v>
      </c>
    </row>
    <row r="1180" spans="1:18">
      <c r="A1180">
        <v>2</v>
      </c>
      <c r="B1180" t="s">
        <v>10</v>
      </c>
      <c r="C1180" s="1">
        <v>46162</v>
      </c>
      <c r="D1180" t="s">
        <v>15</v>
      </c>
      <c r="E1180">
        <v>55</v>
      </c>
      <c r="F1180" t="s">
        <v>12</v>
      </c>
      <c r="G1180" t="s">
        <v>13</v>
      </c>
      <c r="H1180" s="1">
        <v>46199</v>
      </c>
      <c r="I1180">
        <v>0</v>
      </c>
      <c r="J1180">
        <v>3.75308777429467</v>
      </c>
      <c r="K1180">
        <v>0</v>
      </c>
      <c r="L1180">
        <v>1595</v>
      </c>
      <c r="M1180">
        <v>49.098069910940403</v>
      </c>
      <c r="N1180">
        <v>1.931</v>
      </c>
      <c r="O1180">
        <f>(Table1[[#This Row],[P]]&lt;&gt;0)*(Table1[[#This Row],[C]]&lt;&gt;0)</f>
        <v>0</v>
      </c>
      <c r="P1180">
        <f>NETWORKDAYS(Table1[[#This Row],[ts_event]],Table1[[#This Row],[option_expiry_date]])</f>
        <v>28</v>
      </c>
      <c r="Q1180">
        <f>Table1[[#This Row],[Column2]]/252</f>
        <v>0.1111111111111111</v>
      </c>
      <c r="R1180" s="2" t="e">
        <f>IF(Table1[[#This Row],[CHECK2]]=0,NA(),
-(1/Table1[[#This Row],[T]])*LN((Table1[[#This Row],[S0]]-Table1[[#This Row],[C]]+Table1[[#This Row],[P]])/Table1[[#This Row],[K]])
)</f>
        <v>#N/A</v>
      </c>
    </row>
    <row r="1181" spans="1:18">
      <c r="A1181">
        <v>1</v>
      </c>
      <c r="B1181" t="s">
        <v>10</v>
      </c>
      <c r="C1181" s="1">
        <v>46162</v>
      </c>
      <c r="D1181" t="s">
        <v>15</v>
      </c>
      <c r="E1181">
        <v>60</v>
      </c>
      <c r="F1181" t="s">
        <v>12</v>
      </c>
      <c r="G1181" t="s">
        <v>13</v>
      </c>
      <c r="H1181" s="1">
        <v>46199</v>
      </c>
      <c r="I1181">
        <v>0</v>
      </c>
      <c r="J1181">
        <v>3.2</v>
      </c>
      <c r="K1181">
        <v>0</v>
      </c>
      <c r="L1181">
        <v>250</v>
      </c>
      <c r="M1181">
        <v>49.098069910940403</v>
      </c>
      <c r="N1181">
        <v>1.931</v>
      </c>
      <c r="O1181">
        <f>(Table1[[#This Row],[P]]&lt;&gt;0)*(Table1[[#This Row],[C]]&lt;&gt;0)</f>
        <v>0</v>
      </c>
      <c r="P1181">
        <f>NETWORKDAYS(Table1[[#This Row],[ts_event]],Table1[[#This Row],[option_expiry_date]])</f>
        <v>28</v>
      </c>
      <c r="Q1181">
        <f>Table1[[#This Row],[Column2]]/252</f>
        <v>0.1111111111111111</v>
      </c>
      <c r="R1181" s="2" t="e">
        <f>IF(Table1[[#This Row],[CHECK2]]=0,NA(),
-(1/Table1[[#This Row],[T]])*LN((Table1[[#This Row],[S0]]-Table1[[#This Row],[C]]+Table1[[#This Row],[P]])/Table1[[#This Row],[K]])
)</f>
        <v>#N/A</v>
      </c>
    </row>
    <row r="1182" spans="1:18">
      <c r="A1182">
        <v>1</v>
      </c>
      <c r="B1182" t="s">
        <v>10</v>
      </c>
      <c r="C1182" s="1">
        <v>46162</v>
      </c>
      <c r="D1182" t="s">
        <v>15</v>
      </c>
      <c r="E1182">
        <v>65</v>
      </c>
      <c r="F1182" t="s">
        <v>12</v>
      </c>
      <c r="G1182" t="s">
        <v>13</v>
      </c>
      <c r="H1182" s="1">
        <v>46199</v>
      </c>
      <c r="I1182">
        <v>0</v>
      </c>
      <c r="J1182">
        <v>2.34</v>
      </c>
      <c r="K1182">
        <v>0</v>
      </c>
      <c r="L1182">
        <v>40</v>
      </c>
      <c r="M1182">
        <v>49.098069910940403</v>
      </c>
      <c r="N1182">
        <v>1.931</v>
      </c>
      <c r="O1182">
        <f>(Table1[[#This Row],[P]]&lt;&gt;0)*(Table1[[#This Row],[C]]&lt;&gt;0)</f>
        <v>0</v>
      </c>
      <c r="P1182">
        <f>NETWORKDAYS(Table1[[#This Row],[ts_event]],Table1[[#This Row],[option_expiry_date]])</f>
        <v>28</v>
      </c>
      <c r="Q1182">
        <f>Table1[[#This Row],[Column2]]/252</f>
        <v>0.1111111111111111</v>
      </c>
      <c r="R1182" s="2" t="e">
        <f>IF(Table1[[#This Row],[CHECK2]]=0,NA(),
-(1/Table1[[#This Row],[T]])*LN((Table1[[#This Row],[S0]]-Table1[[#This Row],[C]]+Table1[[#This Row],[P]])/Table1[[#This Row],[K]])
)</f>
        <v>#N/A</v>
      </c>
    </row>
    <row r="1183" spans="1:18">
      <c r="A1183">
        <v>1</v>
      </c>
      <c r="B1183" t="s">
        <v>10</v>
      </c>
      <c r="C1183" s="1">
        <v>46162</v>
      </c>
      <c r="D1183" t="s">
        <v>15</v>
      </c>
      <c r="E1183">
        <v>70</v>
      </c>
      <c r="F1183" t="s">
        <v>12</v>
      </c>
      <c r="G1183" t="s">
        <v>13</v>
      </c>
      <c r="H1183" s="1">
        <v>46199</v>
      </c>
      <c r="I1183">
        <v>0</v>
      </c>
      <c r="J1183">
        <v>2.0699999999999998</v>
      </c>
      <c r="K1183">
        <v>0</v>
      </c>
      <c r="L1183">
        <v>750</v>
      </c>
      <c r="M1183">
        <v>49.098069910940403</v>
      </c>
      <c r="N1183">
        <v>1.931</v>
      </c>
      <c r="O1183">
        <f>(Table1[[#This Row],[P]]&lt;&gt;0)*(Table1[[#This Row],[C]]&lt;&gt;0)</f>
        <v>0</v>
      </c>
      <c r="P1183">
        <f>NETWORKDAYS(Table1[[#This Row],[ts_event]],Table1[[#This Row],[option_expiry_date]])</f>
        <v>28</v>
      </c>
      <c r="Q1183">
        <f>Table1[[#This Row],[Column2]]/252</f>
        <v>0.1111111111111111</v>
      </c>
      <c r="R1183" s="2" t="e">
        <f>IF(Table1[[#This Row],[CHECK2]]=0,NA(),
-(1/Table1[[#This Row],[T]])*LN((Table1[[#This Row],[S0]]-Table1[[#This Row],[C]]+Table1[[#This Row],[P]])/Table1[[#This Row],[K]])
)</f>
        <v>#N/A</v>
      </c>
    </row>
    <row r="1184" spans="1:18">
      <c r="A1184">
        <v>1</v>
      </c>
      <c r="B1184" t="s">
        <v>10</v>
      </c>
      <c r="C1184" s="1">
        <v>46162</v>
      </c>
      <c r="D1184" t="s">
        <v>15</v>
      </c>
      <c r="E1184">
        <v>80</v>
      </c>
      <c r="F1184" t="s">
        <v>12</v>
      </c>
      <c r="G1184" t="s">
        <v>13</v>
      </c>
      <c r="H1184" s="1">
        <v>46199</v>
      </c>
      <c r="I1184">
        <v>0</v>
      </c>
      <c r="J1184">
        <v>1.04</v>
      </c>
      <c r="K1184">
        <v>0</v>
      </c>
      <c r="L1184">
        <v>250</v>
      </c>
      <c r="M1184">
        <v>49.098069910940403</v>
      </c>
      <c r="N1184">
        <v>1.931</v>
      </c>
      <c r="O1184">
        <f>(Table1[[#This Row],[P]]&lt;&gt;0)*(Table1[[#This Row],[C]]&lt;&gt;0)</f>
        <v>0</v>
      </c>
      <c r="P1184">
        <f>NETWORKDAYS(Table1[[#This Row],[ts_event]],Table1[[#This Row],[option_expiry_date]])</f>
        <v>28</v>
      </c>
      <c r="Q1184">
        <f>Table1[[#This Row],[Column2]]/252</f>
        <v>0.1111111111111111</v>
      </c>
      <c r="R1184" s="2" t="e">
        <f>IF(Table1[[#This Row],[CHECK2]]=0,NA(),
-(1/Table1[[#This Row],[T]])*LN((Table1[[#This Row],[S0]]-Table1[[#This Row],[C]]+Table1[[#This Row],[P]])/Table1[[#This Row],[K]])
)</f>
        <v>#N/A</v>
      </c>
    </row>
    <row r="1185" spans="1:18">
      <c r="A1185">
        <v>1</v>
      </c>
      <c r="B1185" t="s">
        <v>10</v>
      </c>
      <c r="C1185" s="1">
        <v>46162</v>
      </c>
      <c r="D1185" t="s">
        <v>15</v>
      </c>
      <c r="E1185">
        <v>90</v>
      </c>
      <c r="F1185" t="s">
        <v>12</v>
      </c>
      <c r="G1185" t="s">
        <v>13</v>
      </c>
      <c r="H1185" s="1">
        <v>46199</v>
      </c>
      <c r="I1185">
        <v>0</v>
      </c>
      <c r="J1185">
        <v>0.60499999999999998</v>
      </c>
      <c r="K1185">
        <v>0</v>
      </c>
      <c r="L1185">
        <v>25</v>
      </c>
      <c r="M1185">
        <v>49.098069910940403</v>
      </c>
      <c r="N1185">
        <v>1.931</v>
      </c>
      <c r="O1185">
        <f>(Table1[[#This Row],[P]]&lt;&gt;0)*(Table1[[#This Row],[C]]&lt;&gt;0)</f>
        <v>0</v>
      </c>
      <c r="P1185">
        <f>NETWORKDAYS(Table1[[#This Row],[ts_event]],Table1[[#This Row],[option_expiry_date]])</f>
        <v>28</v>
      </c>
      <c r="Q1185">
        <f>Table1[[#This Row],[Column2]]/252</f>
        <v>0.1111111111111111</v>
      </c>
      <c r="R1185" s="2" t="e">
        <f>IF(Table1[[#This Row],[CHECK2]]=0,NA(),
-(1/Table1[[#This Row],[T]])*LN((Table1[[#This Row],[S0]]-Table1[[#This Row],[C]]+Table1[[#This Row],[P]])/Table1[[#This Row],[K]])
)</f>
        <v>#N/A</v>
      </c>
    </row>
    <row r="1186" spans="1:18">
      <c r="A1186">
        <v>1</v>
      </c>
      <c r="B1186" t="s">
        <v>10</v>
      </c>
      <c r="C1186" s="1">
        <v>46162</v>
      </c>
      <c r="D1186" t="s">
        <v>15</v>
      </c>
      <c r="E1186">
        <v>100</v>
      </c>
      <c r="F1186" t="s">
        <v>12</v>
      </c>
      <c r="G1186" t="s">
        <v>13</v>
      </c>
      <c r="H1186" s="1">
        <v>46199</v>
      </c>
      <c r="I1186">
        <v>0</v>
      </c>
      <c r="J1186">
        <v>0.62</v>
      </c>
      <c r="K1186">
        <v>0</v>
      </c>
      <c r="L1186">
        <v>150</v>
      </c>
      <c r="M1186">
        <v>49.098069910940403</v>
      </c>
      <c r="N1186">
        <v>1.931</v>
      </c>
      <c r="O1186">
        <f>(Table1[[#This Row],[P]]&lt;&gt;0)*(Table1[[#This Row],[C]]&lt;&gt;0)</f>
        <v>0</v>
      </c>
      <c r="P1186">
        <f>NETWORKDAYS(Table1[[#This Row],[ts_event]],Table1[[#This Row],[option_expiry_date]])</f>
        <v>28</v>
      </c>
      <c r="Q1186">
        <f>Table1[[#This Row],[Column2]]/252</f>
        <v>0.1111111111111111</v>
      </c>
      <c r="R1186" s="2" t="e">
        <f>IF(Table1[[#This Row],[CHECK2]]=0,NA(),
-(1/Table1[[#This Row],[T]])*LN((Table1[[#This Row],[S0]]-Table1[[#This Row],[C]]+Table1[[#This Row],[P]])/Table1[[#This Row],[K]])
)</f>
        <v>#N/A</v>
      </c>
    </row>
    <row r="1187" spans="1:18">
      <c r="A1187">
        <v>1</v>
      </c>
      <c r="B1187" t="s">
        <v>10</v>
      </c>
      <c r="C1187" s="1">
        <v>46162</v>
      </c>
      <c r="D1187" t="s">
        <v>16</v>
      </c>
      <c r="E1187">
        <v>30</v>
      </c>
      <c r="F1187" t="s">
        <v>12</v>
      </c>
      <c r="G1187" t="s">
        <v>13</v>
      </c>
      <c r="H1187" s="1">
        <v>46230</v>
      </c>
      <c r="I1187">
        <v>0</v>
      </c>
      <c r="J1187">
        <v>21.84</v>
      </c>
      <c r="K1187">
        <v>0</v>
      </c>
      <c r="L1187">
        <v>75</v>
      </c>
      <c r="M1187">
        <v>49.125190630206802</v>
      </c>
      <c r="N1187">
        <v>1.931</v>
      </c>
      <c r="O1187">
        <f>(Table1[[#This Row],[P]]&lt;&gt;0)*(Table1[[#This Row],[C]]&lt;&gt;0)</f>
        <v>0</v>
      </c>
      <c r="P1187">
        <f>NETWORKDAYS(Table1[[#This Row],[ts_event]],Table1[[#This Row],[option_expiry_date]])</f>
        <v>49</v>
      </c>
      <c r="Q1187">
        <f>Table1[[#This Row],[Column2]]/252</f>
        <v>0.19444444444444445</v>
      </c>
      <c r="R1187" s="2" t="e">
        <f>IF(Table1[[#This Row],[CHECK2]]=0,NA(),
-(1/Table1[[#This Row],[T]])*LN((Table1[[#This Row],[S0]]-Table1[[#This Row],[C]]+Table1[[#This Row],[P]])/Table1[[#This Row],[K]])
)</f>
        <v>#N/A</v>
      </c>
    </row>
    <row r="1188" spans="1:18">
      <c r="A1188">
        <v>1</v>
      </c>
      <c r="B1188" t="s">
        <v>10</v>
      </c>
      <c r="C1188" s="1">
        <v>46162</v>
      </c>
      <c r="D1188" t="s">
        <v>16</v>
      </c>
      <c r="E1188">
        <v>34</v>
      </c>
      <c r="F1188" t="s">
        <v>12</v>
      </c>
      <c r="G1188" t="s">
        <v>13</v>
      </c>
      <c r="H1188" s="1">
        <v>46230</v>
      </c>
      <c r="I1188">
        <v>0</v>
      </c>
      <c r="J1188">
        <v>18.2</v>
      </c>
      <c r="K1188">
        <v>0</v>
      </c>
      <c r="L1188">
        <v>150</v>
      </c>
      <c r="M1188">
        <v>49.125190630206802</v>
      </c>
      <c r="N1188">
        <v>1.931</v>
      </c>
      <c r="O1188">
        <f>(Table1[[#This Row],[P]]&lt;&gt;0)*(Table1[[#This Row],[C]]&lt;&gt;0)</f>
        <v>0</v>
      </c>
      <c r="P1188">
        <f>NETWORKDAYS(Table1[[#This Row],[ts_event]],Table1[[#This Row],[option_expiry_date]])</f>
        <v>49</v>
      </c>
      <c r="Q1188">
        <f>Table1[[#This Row],[Column2]]/252</f>
        <v>0.19444444444444445</v>
      </c>
      <c r="R1188" s="2" t="e">
        <f>IF(Table1[[#This Row],[CHECK2]]=0,NA(),
-(1/Table1[[#This Row],[T]])*LN((Table1[[#This Row],[S0]]-Table1[[#This Row],[C]]+Table1[[#This Row],[P]])/Table1[[#This Row],[K]])
)</f>
        <v>#N/A</v>
      </c>
    </row>
    <row r="1189" spans="1:18">
      <c r="A1189">
        <v>1</v>
      </c>
      <c r="B1189" t="s">
        <v>10</v>
      </c>
      <c r="C1189" s="1">
        <v>46162</v>
      </c>
      <c r="D1189" t="s">
        <v>16</v>
      </c>
      <c r="E1189">
        <v>35</v>
      </c>
      <c r="F1189" t="s">
        <v>12</v>
      </c>
      <c r="G1189" t="s">
        <v>13</v>
      </c>
      <c r="H1189" s="1">
        <v>46230</v>
      </c>
      <c r="I1189">
        <v>0.7</v>
      </c>
      <c r="J1189">
        <v>0</v>
      </c>
      <c r="K1189">
        <v>170</v>
      </c>
      <c r="L1189">
        <v>0</v>
      </c>
      <c r="M1189">
        <v>49.125190630206802</v>
      </c>
      <c r="N1189">
        <v>1.931</v>
      </c>
      <c r="O1189">
        <f>(Table1[[#This Row],[P]]&lt;&gt;0)*(Table1[[#This Row],[C]]&lt;&gt;0)</f>
        <v>0</v>
      </c>
      <c r="P1189">
        <f>NETWORKDAYS(Table1[[#This Row],[ts_event]],Table1[[#This Row],[option_expiry_date]])</f>
        <v>49</v>
      </c>
      <c r="Q1189">
        <f>Table1[[#This Row],[Column2]]/252</f>
        <v>0.19444444444444445</v>
      </c>
      <c r="R1189" s="2" t="e">
        <f>IF(Table1[[#This Row],[CHECK2]]=0,NA(),
-(1/Table1[[#This Row],[T]])*LN((Table1[[#This Row],[S0]]-Table1[[#This Row],[C]]+Table1[[#This Row],[P]])/Table1[[#This Row],[K]])
)</f>
        <v>#N/A</v>
      </c>
    </row>
    <row r="1190" spans="1:18">
      <c r="A1190">
        <v>1</v>
      </c>
      <c r="B1190" t="s">
        <v>10</v>
      </c>
      <c r="C1190" s="1">
        <v>46162</v>
      </c>
      <c r="D1190" t="s">
        <v>16</v>
      </c>
      <c r="E1190">
        <v>37</v>
      </c>
      <c r="F1190" t="s">
        <v>12</v>
      </c>
      <c r="G1190" t="s">
        <v>13</v>
      </c>
      <c r="H1190" s="1">
        <v>46230</v>
      </c>
      <c r="I1190">
        <v>0</v>
      </c>
      <c r="J1190">
        <v>15.7</v>
      </c>
      <c r="K1190">
        <v>0</v>
      </c>
      <c r="L1190">
        <v>75</v>
      </c>
      <c r="M1190">
        <v>49.125190630206802</v>
      </c>
      <c r="N1190">
        <v>1.931</v>
      </c>
      <c r="O1190">
        <f>(Table1[[#This Row],[P]]&lt;&gt;0)*(Table1[[#This Row],[C]]&lt;&gt;0)</f>
        <v>0</v>
      </c>
      <c r="P1190">
        <f>NETWORKDAYS(Table1[[#This Row],[ts_event]],Table1[[#This Row],[option_expiry_date]])</f>
        <v>49</v>
      </c>
      <c r="Q1190">
        <f>Table1[[#This Row],[Column2]]/252</f>
        <v>0.19444444444444445</v>
      </c>
      <c r="R1190" s="2" t="e">
        <f>IF(Table1[[#This Row],[CHECK2]]=0,NA(),
-(1/Table1[[#This Row],[T]])*LN((Table1[[#This Row],[S0]]-Table1[[#This Row],[C]]+Table1[[#This Row],[P]])/Table1[[#This Row],[K]])
)</f>
        <v>#N/A</v>
      </c>
    </row>
    <row r="1191" spans="1:18">
      <c r="A1191">
        <v>1</v>
      </c>
      <c r="B1191" t="s">
        <v>10</v>
      </c>
      <c r="C1191" s="1">
        <v>46162</v>
      </c>
      <c r="D1191" t="s">
        <v>16</v>
      </c>
      <c r="E1191">
        <v>50</v>
      </c>
      <c r="F1191" t="s">
        <v>12</v>
      </c>
      <c r="G1191" t="s">
        <v>13</v>
      </c>
      <c r="H1191" s="1">
        <v>46230</v>
      </c>
      <c r="I1191">
        <v>0</v>
      </c>
      <c r="J1191">
        <v>6.96</v>
      </c>
      <c r="K1191">
        <v>0</v>
      </c>
      <c r="L1191">
        <v>500</v>
      </c>
      <c r="M1191">
        <v>49.125190630206802</v>
      </c>
      <c r="N1191">
        <v>1.931</v>
      </c>
      <c r="O1191">
        <f>(Table1[[#This Row],[P]]&lt;&gt;0)*(Table1[[#This Row],[C]]&lt;&gt;0)</f>
        <v>0</v>
      </c>
      <c r="P1191">
        <f>NETWORKDAYS(Table1[[#This Row],[ts_event]],Table1[[#This Row],[option_expiry_date]])</f>
        <v>49</v>
      </c>
      <c r="Q1191">
        <f>Table1[[#This Row],[Column2]]/252</f>
        <v>0.19444444444444445</v>
      </c>
      <c r="R1191" s="2" t="e">
        <f>IF(Table1[[#This Row],[CHECK2]]=0,NA(),
-(1/Table1[[#This Row],[T]])*LN((Table1[[#This Row],[S0]]-Table1[[#This Row],[C]]+Table1[[#This Row],[P]])/Table1[[#This Row],[K]])
)</f>
        <v>#N/A</v>
      </c>
    </row>
    <row r="1192" spans="1:18">
      <c r="A1192">
        <v>1</v>
      </c>
      <c r="B1192" t="s">
        <v>10</v>
      </c>
      <c r="C1192" s="1">
        <v>46162</v>
      </c>
      <c r="D1192" t="s">
        <v>16</v>
      </c>
      <c r="E1192">
        <v>51</v>
      </c>
      <c r="F1192" t="s">
        <v>12</v>
      </c>
      <c r="G1192" t="s">
        <v>13</v>
      </c>
      <c r="H1192" s="1">
        <v>46230</v>
      </c>
      <c r="I1192">
        <v>8.3000000000000007</v>
      </c>
      <c r="J1192">
        <v>0</v>
      </c>
      <c r="K1192">
        <v>50</v>
      </c>
      <c r="L1192">
        <v>0</v>
      </c>
      <c r="M1192">
        <v>49.125190630206802</v>
      </c>
      <c r="N1192">
        <v>1.931</v>
      </c>
      <c r="O1192">
        <f>(Table1[[#This Row],[P]]&lt;&gt;0)*(Table1[[#This Row],[C]]&lt;&gt;0)</f>
        <v>0</v>
      </c>
      <c r="P1192">
        <f>NETWORKDAYS(Table1[[#This Row],[ts_event]],Table1[[#This Row],[option_expiry_date]])</f>
        <v>49</v>
      </c>
      <c r="Q1192">
        <f>Table1[[#This Row],[Column2]]/252</f>
        <v>0.19444444444444445</v>
      </c>
      <c r="R1192" s="2" t="e">
        <f>IF(Table1[[#This Row],[CHECK2]]=0,NA(),
-(1/Table1[[#This Row],[T]])*LN((Table1[[#This Row],[S0]]-Table1[[#This Row],[C]]+Table1[[#This Row],[P]])/Table1[[#This Row],[K]])
)</f>
        <v>#N/A</v>
      </c>
    </row>
    <row r="1193" spans="1:18">
      <c r="A1193">
        <v>1</v>
      </c>
      <c r="B1193" t="s">
        <v>10</v>
      </c>
      <c r="C1193" s="1">
        <v>46162</v>
      </c>
      <c r="D1193" t="s">
        <v>16</v>
      </c>
      <c r="E1193">
        <v>65</v>
      </c>
      <c r="F1193" t="s">
        <v>12</v>
      </c>
      <c r="G1193" t="s">
        <v>13</v>
      </c>
      <c r="H1193" s="1">
        <v>46230</v>
      </c>
      <c r="I1193">
        <v>0</v>
      </c>
      <c r="J1193">
        <v>4.2</v>
      </c>
      <c r="K1193">
        <v>0</v>
      </c>
      <c r="L1193">
        <v>15</v>
      </c>
      <c r="M1193">
        <v>49.125190630206802</v>
      </c>
      <c r="N1193">
        <v>1.931</v>
      </c>
      <c r="O1193">
        <f>(Table1[[#This Row],[P]]&lt;&gt;0)*(Table1[[#This Row],[C]]&lt;&gt;0)</f>
        <v>0</v>
      </c>
      <c r="P1193">
        <f>NETWORKDAYS(Table1[[#This Row],[ts_event]],Table1[[#This Row],[option_expiry_date]])</f>
        <v>49</v>
      </c>
      <c r="Q1193">
        <f>Table1[[#This Row],[Column2]]/252</f>
        <v>0.19444444444444445</v>
      </c>
      <c r="R1193" s="2" t="e">
        <f>IF(Table1[[#This Row],[CHECK2]]=0,NA(),
-(1/Table1[[#This Row],[T]])*LN((Table1[[#This Row],[S0]]-Table1[[#This Row],[C]]+Table1[[#This Row],[P]])/Table1[[#This Row],[K]])
)</f>
        <v>#N/A</v>
      </c>
    </row>
    <row r="1194" spans="1:18">
      <c r="A1194">
        <v>1</v>
      </c>
      <c r="B1194" t="s">
        <v>10</v>
      </c>
      <c r="C1194" s="1">
        <v>46162</v>
      </c>
      <c r="D1194" t="s">
        <v>16</v>
      </c>
      <c r="E1194">
        <v>75</v>
      </c>
      <c r="F1194" t="s">
        <v>12</v>
      </c>
      <c r="G1194" t="s">
        <v>13</v>
      </c>
      <c r="H1194" s="1">
        <v>46230</v>
      </c>
      <c r="I1194">
        <v>0</v>
      </c>
      <c r="J1194">
        <v>2.42</v>
      </c>
      <c r="K1194">
        <v>0</v>
      </c>
      <c r="L1194">
        <v>950</v>
      </c>
      <c r="M1194">
        <v>49.125190630206802</v>
      </c>
      <c r="N1194">
        <v>1.931</v>
      </c>
      <c r="O1194">
        <f>(Table1[[#This Row],[P]]&lt;&gt;0)*(Table1[[#This Row],[C]]&lt;&gt;0)</f>
        <v>0</v>
      </c>
      <c r="P1194">
        <f>NETWORKDAYS(Table1[[#This Row],[ts_event]],Table1[[#This Row],[option_expiry_date]])</f>
        <v>49</v>
      </c>
      <c r="Q1194">
        <f>Table1[[#This Row],[Column2]]/252</f>
        <v>0.19444444444444445</v>
      </c>
      <c r="R1194" s="2" t="e">
        <f>IF(Table1[[#This Row],[CHECK2]]=0,NA(),
-(1/Table1[[#This Row],[T]])*LN((Table1[[#This Row],[S0]]-Table1[[#This Row],[C]]+Table1[[#This Row],[P]])/Table1[[#This Row],[K]])
)</f>
        <v>#N/A</v>
      </c>
    </row>
    <row r="1195" spans="1:18">
      <c r="A1195">
        <v>1</v>
      </c>
      <c r="B1195" t="s">
        <v>10</v>
      </c>
      <c r="C1195" s="1">
        <v>46162</v>
      </c>
      <c r="D1195" t="s">
        <v>16</v>
      </c>
      <c r="E1195">
        <v>100</v>
      </c>
      <c r="F1195" t="s">
        <v>12</v>
      </c>
      <c r="G1195" t="s">
        <v>13</v>
      </c>
      <c r="H1195" s="1">
        <v>46230</v>
      </c>
      <c r="I1195">
        <v>0</v>
      </c>
      <c r="J1195">
        <v>1.3</v>
      </c>
      <c r="K1195">
        <v>0</v>
      </c>
      <c r="L1195">
        <v>150</v>
      </c>
      <c r="M1195">
        <v>49.125190630206802</v>
      </c>
      <c r="N1195">
        <v>1.931</v>
      </c>
      <c r="O1195">
        <f>(Table1[[#This Row],[P]]&lt;&gt;0)*(Table1[[#This Row],[C]]&lt;&gt;0)</f>
        <v>0</v>
      </c>
      <c r="P1195">
        <f>NETWORKDAYS(Table1[[#This Row],[ts_event]],Table1[[#This Row],[option_expiry_date]])</f>
        <v>49</v>
      </c>
      <c r="Q1195">
        <f>Table1[[#This Row],[Column2]]/252</f>
        <v>0.19444444444444445</v>
      </c>
      <c r="R1195" s="2" t="e">
        <f>IF(Table1[[#This Row],[CHECK2]]=0,NA(),
-(1/Table1[[#This Row],[T]])*LN((Table1[[#This Row],[S0]]-Table1[[#This Row],[C]]+Table1[[#This Row],[P]])/Table1[[#This Row],[K]])
)</f>
        <v>#N/A</v>
      </c>
    </row>
    <row r="1196" spans="1:18">
      <c r="A1196">
        <v>1</v>
      </c>
      <c r="B1196" t="s">
        <v>10</v>
      </c>
      <c r="C1196" s="1">
        <v>46162</v>
      </c>
      <c r="D1196" t="s">
        <v>17</v>
      </c>
      <c r="E1196">
        <v>34.5</v>
      </c>
      <c r="F1196" t="s">
        <v>12</v>
      </c>
      <c r="G1196" t="s">
        <v>13</v>
      </c>
      <c r="H1196" s="1">
        <v>46260</v>
      </c>
      <c r="I1196">
        <v>0.98499999999999999</v>
      </c>
      <c r="J1196">
        <v>0</v>
      </c>
      <c r="K1196">
        <v>20</v>
      </c>
      <c r="L1196">
        <v>0</v>
      </c>
      <c r="M1196">
        <v>49.082385561701301</v>
      </c>
      <c r="N1196">
        <v>1.931</v>
      </c>
      <c r="O1196">
        <f>(Table1[[#This Row],[P]]&lt;&gt;0)*(Table1[[#This Row],[C]]&lt;&gt;0)</f>
        <v>0</v>
      </c>
      <c r="P1196">
        <f>NETWORKDAYS(Table1[[#This Row],[ts_event]],Table1[[#This Row],[option_expiry_date]])</f>
        <v>71</v>
      </c>
      <c r="Q1196">
        <f>Table1[[#This Row],[Column2]]/252</f>
        <v>0.28174603174603174</v>
      </c>
      <c r="R1196" s="2" t="e">
        <f>IF(Table1[[#This Row],[CHECK2]]=0,NA(),
-(1/Table1[[#This Row],[T]])*LN((Table1[[#This Row],[S0]]-Table1[[#This Row],[C]]+Table1[[#This Row],[P]])/Table1[[#This Row],[K]])
)</f>
        <v>#N/A</v>
      </c>
    </row>
    <row r="1197" spans="1:18">
      <c r="A1197">
        <v>1</v>
      </c>
      <c r="B1197" t="s">
        <v>10</v>
      </c>
      <c r="C1197" s="1">
        <v>46162</v>
      </c>
      <c r="D1197" t="s">
        <v>17</v>
      </c>
      <c r="E1197">
        <v>45</v>
      </c>
      <c r="F1197" t="s">
        <v>12</v>
      </c>
      <c r="G1197" t="s">
        <v>13</v>
      </c>
      <c r="H1197" s="1">
        <v>46260</v>
      </c>
      <c r="I1197">
        <v>4.95</v>
      </c>
      <c r="J1197">
        <v>0</v>
      </c>
      <c r="K1197">
        <v>700</v>
      </c>
      <c r="L1197">
        <v>0</v>
      </c>
      <c r="M1197">
        <v>49.082385561701301</v>
      </c>
      <c r="N1197">
        <v>1.931</v>
      </c>
      <c r="O1197">
        <f>(Table1[[#This Row],[P]]&lt;&gt;0)*(Table1[[#This Row],[C]]&lt;&gt;0)</f>
        <v>0</v>
      </c>
      <c r="P1197">
        <f>NETWORKDAYS(Table1[[#This Row],[ts_event]],Table1[[#This Row],[option_expiry_date]])</f>
        <v>71</v>
      </c>
      <c r="Q1197">
        <f>Table1[[#This Row],[Column2]]/252</f>
        <v>0.28174603174603174</v>
      </c>
      <c r="R1197" s="2" t="e">
        <f>IF(Table1[[#This Row],[CHECK2]]=0,NA(),
-(1/Table1[[#This Row],[T]])*LN((Table1[[#This Row],[S0]]-Table1[[#This Row],[C]]+Table1[[#This Row],[P]])/Table1[[#This Row],[K]])
)</f>
        <v>#N/A</v>
      </c>
    </row>
    <row r="1198" spans="1:18">
      <c r="A1198">
        <v>2</v>
      </c>
      <c r="B1198" t="s">
        <v>10</v>
      </c>
      <c r="C1198" s="1">
        <v>46162</v>
      </c>
      <c r="D1198" t="s">
        <v>17</v>
      </c>
      <c r="E1198">
        <v>50</v>
      </c>
      <c r="F1198" t="s">
        <v>12</v>
      </c>
      <c r="G1198" t="s">
        <v>13</v>
      </c>
      <c r="H1198" s="1">
        <v>46260</v>
      </c>
      <c r="I1198">
        <v>7.9249999999999998</v>
      </c>
      <c r="J1198">
        <v>9</v>
      </c>
      <c r="K1198">
        <v>100</v>
      </c>
      <c r="L1198">
        <v>400</v>
      </c>
      <c r="M1198">
        <v>49.082385561701301</v>
      </c>
      <c r="N1198">
        <v>1.931</v>
      </c>
      <c r="O1198">
        <f>(Table1[[#This Row],[P]]&lt;&gt;0)*(Table1[[#This Row],[C]]&lt;&gt;0)</f>
        <v>1</v>
      </c>
      <c r="P1198">
        <f>NETWORKDAYS(Table1[[#This Row],[ts_event]],Table1[[#This Row],[option_expiry_date]])</f>
        <v>71</v>
      </c>
      <c r="Q1198">
        <f>Table1[[#This Row],[Column2]]/252</f>
        <v>0.28174603174603174</v>
      </c>
      <c r="R1198" s="2">
        <f>IF(Table1[[#This Row],[CHECK2]]=0,NA(),
-(1/Table1[[#This Row],[T]])*LN((Table1[[#This Row],[S0]]-Table1[[#This Row],[C]]+Table1[[#This Row],[P]])/Table1[[#This Row],[K]])
)</f>
        <v>0.14434325919548482</v>
      </c>
    </row>
    <row r="1199" spans="1:18">
      <c r="A1199">
        <v>1</v>
      </c>
      <c r="B1199" t="s">
        <v>10</v>
      </c>
      <c r="C1199" s="1">
        <v>46162</v>
      </c>
      <c r="D1199" t="s">
        <v>17</v>
      </c>
      <c r="E1199">
        <v>57</v>
      </c>
      <c r="F1199" t="s">
        <v>12</v>
      </c>
      <c r="G1199" t="s">
        <v>13</v>
      </c>
      <c r="H1199" s="1">
        <v>46260</v>
      </c>
      <c r="I1199">
        <v>0</v>
      </c>
      <c r="J1199">
        <v>6.75</v>
      </c>
      <c r="K1199">
        <v>0</v>
      </c>
      <c r="L1199">
        <v>5</v>
      </c>
      <c r="M1199">
        <v>49.082385561701301</v>
      </c>
      <c r="N1199">
        <v>1.931</v>
      </c>
      <c r="O1199">
        <f>(Table1[[#This Row],[P]]&lt;&gt;0)*(Table1[[#This Row],[C]]&lt;&gt;0)</f>
        <v>0</v>
      </c>
      <c r="P1199">
        <f>NETWORKDAYS(Table1[[#This Row],[ts_event]],Table1[[#This Row],[option_expiry_date]])</f>
        <v>71</v>
      </c>
      <c r="Q1199">
        <f>Table1[[#This Row],[Column2]]/252</f>
        <v>0.28174603174603174</v>
      </c>
      <c r="R1199" s="2" t="e">
        <f>IF(Table1[[#This Row],[CHECK2]]=0,NA(),
-(1/Table1[[#This Row],[T]])*LN((Table1[[#This Row],[S0]]-Table1[[#This Row],[C]]+Table1[[#This Row],[P]])/Table1[[#This Row],[K]])
)</f>
        <v>#N/A</v>
      </c>
    </row>
    <row r="1200" spans="1:18">
      <c r="A1200">
        <v>1</v>
      </c>
      <c r="B1200" t="s">
        <v>10</v>
      </c>
      <c r="C1200" s="1">
        <v>46162</v>
      </c>
      <c r="D1200" t="s">
        <v>17</v>
      </c>
      <c r="E1200">
        <v>70</v>
      </c>
      <c r="F1200" t="s">
        <v>12</v>
      </c>
      <c r="G1200" t="s">
        <v>13</v>
      </c>
      <c r="H1200" s="1">
        <v>46260</v>
      </c>
      <c r="I1200">
        <v>0</v>
      </c>
      <c r="J1200">
        <v>4.6500000000000004</v>
      </c>
      <c r="K1200">
        <v>0</v>
      </c>
      <c r="L1200">
        <v>450</v>
      </c>
      <c r="M1200">
        <v>49.082385561701301</v>
      </c>
      <c r="N1200">
        <v>1.931</v>
      </c>
      <c r="O1200">
        <f>(Table1[[#This Row],[P]]&lt;&gt;0)*(Table1[[#This Row],[C]]&lt;&gt;0)</f>
        <v>0</v>
      </c>
      <c r="P1200">
        <f>NETWORKDAYS(Table1[[#This Row],[ts_event]],Table1[[#This Row],[option_expiry_date]])</f>
        <v>71</v>
      </c>
      <c r="Q1200">
        <f>Table1[[#This Row],[Column2]]/252</f>
        <v>0.28174603174603174</v>
      </c>
      <c r="R1200" s="2" t="e">
        <f>IF(Table1[[#This Row],[CHECK2]]=0,NA(),
-(1/Table1[[#This Row],[T]])*LN((Table1[[#This Row],[S0]]-Table1[[#This Row],[C]]+Table1[[#This Row],[P]])/Table1[[#This Row],[K]])
)</f>
        <v>#N/A</v>
      </c>
    </row>
    <row r="1201" spans="1:18">
      <c r="A1201">
        <v>1</v>
      </c>
      <c r="B1201" t="s">
        <v>10</v>
      </c>
      <c r="C1201" s="1">
        <v>46162</v>
      </c>
      <c r="D1201" t="s">
        <v>17</v>
      </c>
      <c r="E1201">
        <v>85</v>
      </c>
      <c r="F1201" t="s">
        <v>12</v>
      </c>
      <c r="G1201" t="s">
        <v>13</v>
      </c>
      <c r="H1201" s="1">
        <v>46260</v>
      </c>
      <c r="I1201">
        <v>0</v>
      </c>
      <c r="J1201">
        <v>3.08</v>
      </c>
      <c r="K1201">
        <v>0</v>
      </c>
      <c r="L1201">
        <v>50</v>
      </c>
      <c r="M1201">
        <v>49.082385561701301</v>
      </c>
      <c r="N1201">
        <v>1.931</v>
      </c>
      <c r="O1201">
        <f>(Table1[[#This Row],[P]]&lt;&gt;0)*(Table1[[#This Row],[C]]&lt;&gt;0)</f>
        <v>0</v>
      </c>
      <c r="P1201">
        <f>NETWORKDAYS(Table1[[#This Row],[ts_event]],Table1[[#This Row],[option_expiry_date]])</f>
        <v>71</v>
      </c>
      <c r="Q1201">
        <f>Table1[[#This Row],[Column2]]/252</f>
        <v>0.28174603174603174</v>
      </c>
      <c r="R1201" s="2" t="e">
        <f>IF(Table1[[#This Row],[CHECK2]]=0,NA(),
-(1/Table1[[#This Row],[T]])*LN((Table1[[#This Row],[S0]]-Table1[[#This Row],[C]]+Table1[[#This Row],[P]])/Table1[[#This Row],[K]])
)</f>
        <v>#N/A</v>
      </c>
    </row>
    <row r="1202" spans="1:18">
      <c r="A1202">
        <v>1</v>
      </c>
      <c r="B1202" t="s">
        <v>10</v>
      </c>
      <c r="C1202" s="1">
        <v>46162</v>
      </c>
      <c r="D1202" t="s">
        <v>18</v>
      </c>
      <c r="E1202">
        <v>28</v>
      </c>
      <c r="F1202" t="s">
        <v>12</v>
      </c>
      <c r="G1202" t="s">
        <v>13</v>
      </c>
      <c r="H1202" s="1">
        <v>46290</v>
      </c>
      <c r="I1202">
        <v>0.31</v>
      </c>
      <c r="J1202">
        <v>0</v>
      </c>
      <c r="K1202">
        <v>75</v>
      </c>
      <c r="L1202">
        <v>0</v>
      </c>
      <c r="M1202">
        <v>48.778006598845202</v>
      </c>
      <c r="N1202">
        <v>1.931</v>
      </c>
      <c r="O1202">
        <f>(Table1[[#This Row],[P]]&lt;&gt;0)*(Table1[[#This Row],[C]]&lt;&gt;0)</f>
        <v>0</v>
      </c>
      <c r="P1202">
        <f>NETWORKDAYS(Table1[[#This Row],[ts_event]],Table1[[#This Row],[option_expiry_date]])</f>
        <v>93</v>
      </c>
      <c r="Q1202">
        <f>Table1[[#This Row],[Column2]]/252</f>
        <v>0.36904761904761907</v>
      </c>
      <c r="R1202" s="2" t="e">
        <f>IF(Table1[[#This Row],[CHECK2]]=0,NA(),
-(1/Table1[[#This Row],[T]])*LN((Table1[[#This Row],[S0]]-Table1[[#This Row],[C]]+Table1[[#This Row],[P]])/Table1[[#This Row],[K]])
)</f>
        <v>#N/A</v>
      </c>
    </row>
    <row r="1203" spans="1:18">
      <c r="A1203">
        <v>1</v>
      </c>
      <c r="B1203" t="s">
        <v>10</v>
      </c>
      <c r="C1203" s="1">
        <v>46162</v>
      </c>
      <c r="D1203" t="s">
        <v>18</v>
      </c>
      <c r="E1203">
        <v>45</v>
      </c>
      <c r="F1203" t="s">
        <v>12</v>
      </c>
      <c r="G1203" t="s">
        <v>13</v>
      </c>
      <c r="H1203" s="1">
        <v>46290</v>
      </c>
      <c r="I1203">
        <v>5.55</v>
      </c>
      <c r="J1203">
        <v>0</v>
      </c>
      <c r="K1203">
        <v>600</v>
      </c>
      <c r="L1203">
        <v>0</v>
      </c>
      <c r="M1203">
        <v>48.778006598845202</v>
      </c>
      <c r="N1203">
        <v>1.931</v>
      </c>
      <c r="O1203">
        <f>(Table1[[#This Row],[P]]&lt;&gt;0)*(Table1[[#This Row],[C]]&lt;&gt;0)</f>
        <v>0</v>
      </c>
      <c r="P1203">
        <f>NETWORKDAYS(Table1[[#This Row],[ts_event]],Table1[[#This Row],[option_expiry_date]])</f>
        <v>93</v>
      </c>
      <c r="Q1203">
        <f>Table1[[#This Row],[Column2]]/252</f>
        <v>0.36904761904761907</v>
      </c>
      <c r="R1203" s="2" t="e">
        <f>IF(Table1[[#This Row],[CHECK2]]=0,NA(),
-(1/Table1[[#This Row],[T]])*LN((Table1[[#This Row],[S0]]-Table1[[#This Row],[C]]+Table1[[#This Row],[P]])/Table1[[#This Row],[K]])
)</f>
        <v>#N/A</v>
      </c>
    </row>
    <row r="1204" spans="1:18">
      <c r="A1204">
        <v>1</v>
      </c>
      <c r="B1204" t="s">
        <v>10</v>
      </c>
      <c r="C1204" s="1">
        <v>46162</v>
      </c>
      <c r="D1204" t="s">
        <v>18</v>
      </c>
      <c r="E1204">
        <v>55</v>
      </c>
      <c r="F1204" t="s">
        <v>12</v>
      </c>
      <c r="G1204" t="s">
        <v>13</v>
      </c>
      <c r="H1204" s="1">
        <v>46290</v>
      </c>
      <c r="I1204">
        <v>0</v>
      </c>
      <c r="J1204">
        <v>7.16</v>
      </c>
      <c r="K1204">
        <v>0</v>
      </c>
      <c r="L1204">
        <v>100</v>
      </c>
      <c r="M1204">
        <v>48.778006598845202</v>
      </c>
      <c r="N1204">
        <v>1.931</v>
      </c>
      <c r="O1204">
        <f>(Table1[[#This Row],[P]]&lt;&gt;0)*(Table1[[#This Row],[C]]&lt;&gt;0)</f>
        <v>0</v>
      </c>
      <c r="P1204">
        <f>NETWORKDAYS(Table1[[#This Row],[ts_event]],Table1[[#This Row],[option_expiry_date]])</f>
        <v>93</v>
      </c>
      <c r="Q1204">
        <f>Table1[[#This Row],[Column2]]/252</f>
        <v>0.36904761904761907</v>
      </c>
      <c r="R1204" s="2" t="e">
        <f>IF(Table1[[#This Row],[CHECK2]]=0,NA(),
-(1/Table1[[#This Row],[T]])*LN((Table1[[#This Row],[S0]]-Table1[[#This Row],[C]]+Table1[[#This Row],[P]])/Table1[[#This Row],[K]])
)</f>
        <v>#N/A</v>
      </c>
    </row>
    <row r="1205" spans="1:18">
      <c r="A1205">
        <v>1</v>
      </c>
      <c r="B1205" t="s">
        <v>10</v>
      </c>
      <c r="C1205" s="1">
        <v>46162</v>
      </c>
      <c r="D1205" t="s">
        <v>18</v>
      </c>
      <c r="E1205">
        <v>60</v>
      </c>
      <c r="F1205" t="s">
        <v>12</v>
      </c>
      <c r="G1205" t="s">
        <v>13</v>
      </c>
      <c r="H1205" s="1">
        <v>46290</v>
      </c>
      <c r="I1205">
        <v>0</v>
      </c>
      <c r="J1205">
        <v>6.11</v>
      </c>
      <c r="K1205">
        <v>0</v>
      </c>
      <c r="L1205">
        <v>100</v>
      </c>
      <c r="M1205">
        <v>48.778006598845202</v>
      </c>
      <c r="N1205">
        <v>1.931</v>
      </c>
      <c r="O1205">
        <f>(Table1[[#This Row],[P]]&lt;&gt;0)*(Table1[[#This Row],[C]]&lt;&gt;0)</f>
        <v>0</v>
      </c>
      <c r="P1205">
        <f>NETWORKDAYS(Table1[[#This Row],[ts_event]],Table1[[#This Row],[option_expiry_date]])</f>
        <v>93</v>
      </c>
      <c r="Q1205">
        <f>Table1[[#This Row],[Column2]]/252</f>
        <v>0.36904761904761907</v>
      </c>
      <c r="R1205" s="2" t="e">
        <f>IF(Table1[[#This Row],[CHECK2]]=0,NA(),
-(1/Table1[[#This Row],[T]])*LN((Table1[[#This Row],[S0]]-Table1[[#This Row],[C]]+Table1[[#This Row],[P]])/Table1[[#This Row],[K]])
)</f>
        <v>#N/A</v>
      </c>
    </row>
    <row r="1206" spans="1:18">
      <c r="A1206">
        <v>1</v>
      </c>
      <c r="B1206" t="s">
        <v>10</v>
      </c>
      <c r="C1206" s="1">
        <v>46162</v>
      </c>
      <c r="D1206" t="s">
        <v>18</v>
      </c>
      <c r="E1206">
        <v>65</v>
      </c>
      <c r="F1206" t="s">
        <v>12</v>
      </c>
      <c r="G1206" t="s">
        <v>13</v>
      </c>
      <c r="H1206" s="1">
        <v>46290</v>
      </c>
      <c r="I1206">
        <v>0</v>
      </c>
      <c r="J1206">
        <v>5.8</v>
      </c>
      <c r="K1206">
        <v>0</v>
      </c>
      <c r="L1206">
        <v>200</v>
      </c>
      <c r="M1206">
        <v>48.778006598845202</v>
      </c>
      <c r="N1206">
        <v>1.931</v>
      </c>
      <c r="O1206">
        <f>(Table1[[#This Row],[P]]&lt;&gt;0)*(Table1[[#This Row],[C]]&lt;&gt;0)</f>
        <v>0</v>
      </c>
      <c r="P1206">
        <f>NETWORKDAYS(Table1[[#This Row],[ts_event]],Table1[[#This Row],[option_expiry_date]])</f>
        <v>93</v>
      </c>
      <c r="Q1206">
        <f>Table1[[#This Row],[Column2]]/252</f>
        <v>0.36904761904761907</v>
      </c>
      <c r="R1206" s="2" t="e">
        <f>IF(Table1[[#This Row],[CHECK2]]=0,NA(),
-(1/Table1[[#This Row],[T]])*LN((Table1[[#This Row],[S0]]-Table1[[#This Row],[C]]+Table1[[#This Row],[P]])/Table1[[#This Row],[K]])
)</f>
        <v>#N/A</v>
      </c>
    </row>
    <row r="1207" spans="1:18">
      <c r="A1207">
        <v>1</v>
      </c>
      <c r="B1207" t="s">
        <v>10</v>
      </c>
      <c r="C1207" s="1">
        <v>46162</v>
      </c>
      <c r="D1207" t="s">
        <v>21</v>
      </c>
      <c r="E1207">
        <v>75</v>
      </c>
      <c r="F1207" t="s">
        <v>12</v>
      </c>
      <c r="G1207" t="s">
        <v>13</v>
      </c>
      <c r="H1207" s="1">
        <v>46322</v>
      </c>
      <c r="I1207">
        <v>0</v>
      </c>
      <c r="J1207">
        <v>5</v>
      </c>
      <c r="K1207">
        <v>0</v>
      </c>
      <c r="L1207">
        <v>320</v>
      </c>
      <c r="M1207">
        <v>47.707394668959502</v>
      </c>
      <c r="N1207">
        <v>1.931</v>
      </c>
      <c r="O1207">
        <f>(Table1[[#This Row],[P]]&lt;&gt;0)*(Table1[[#This Row],[C]]&lt;&gt;0)</f>
        <v>0</v>
      </c>
      <c r="P1207">
        <f>NETWORKDAYS(Table1[[#This Row],[ts_event]],Table1[[#This Row],[option_expiry_date]])</f>
        <v>115</v>
      </c>
      <c r="Q1207">
        <f>Table1[[#This Row],[Column2]]/252</f>
        <v>0.45634920634920634</v>
      </c>
      <c r="R1207" s="2" t="e">
        <f>IF(Table1[[#This Row],[CHECK2]]=0,NA(),
-(1/Table1[[#This Row],[T]])*LN((Table1[[#This Row],[S0]]-Table1[[#This Row],[C]]+Table1[[#This Row],[P]])/Table1[[#This Row],[K]])
)</f>
        <v>#N/A</v>
      </c>
    </row>
    <row r="1208" spans="1:18">
      <c r="A1208">
        <v>1</v>
      </c>
      <c r="B1208" t="s">
        <v>10</v>
      </c>
      <c r="C1208" s="1">
        <v>46162</v>
      </c>
      <c r="D1208" t="s">
        <v>21</v>
      </c>
      <c r="E1208">
        <v>100</v>
      </c>
      <c r="F1208" t="s">
        <v>12</v>
      </c>
      <c r="G1208" t="s">
        <v>13</v>
      </c>
      <c r="H1208" s="1">
        <v>46322</v>
      </c>
      <c r="I1208">
        <v>0</v>
      </c>
      <c r="J1208">
        <v>3.05</v>
      </c>
      <c r="K1208">
        <v>0</v>
      </c>
      <c r="L1208">
        <v>285</v>
      </c>
      <c r="M1208">
        <v>47.707394668959502</v>
      </c>
      <c r="N1208">
        <v>1.931</v>
      </c>
      <c r="O1208">
        <f>(Table1[[#This Row],[P]]&lt;&gt;0)*(Table1[[#This Row],[C]]&lt;&gt;0)</f>
        <v>0</v>
      </c>
      <c r="P1208">
        <f>NETWORKDAYS(Table1[[#This Row],[ts_event]],Table1[[#This Row],[option_expiry_date]])</f>
        <v>115</v>
      </c>
      <c r="Q1208">
        <f>Table1[[#This Row],[Column2]]/252</f>
        <v>0.45634920634920634</v>
      </c>
      <c r="R1208" s="2" t="e">
        <f>IF(Table1[[#This Row],[CHECK2]]=0,NA(),
-(1/Table1[[#This Row],[T]])*LN((Table1[[#This Row],[S0]]-Table1[[#This Row],[C]]+Table1[[#This Row],[P]])/Table1[[#This Row],[K]])
)</f>
        <v>#N/A</v>
      </c>
    </row>
    <row r="1209" spans="1:18">
      <c r="A1209">
        <v>1</v>
      </c>
      <c r="B1209" t="s">
        <v>10</v>
      </c>
      <c r="C1209" s="1">
        <v>46162</v>
      </c>
      <c r="D1209" t="s">
        <v>20</v>
      </c>
      <c r="E1209">
        <v>50</v>
      </c>
      <c r="F1209" t="s">
        <v>12</v>
      </c>
      <c r="G1209" t="s">
        <v>13</v>
      </c>
      <c r="H1209" s="1">
        <v>46352</v>
      </c>
      <c r="I1209">
        <v>0</v>
      </c>
      <c r="J1209">
        <v>9.8000000000000007</v>
      </c>
      <c r="K1209">
        <v>0</v>
      </c>
      <c r="L1209">
        <v>470</v>
      </c>
      <c r="M1209">
        <v>47.367024637773604</v>
      </c>
      <c r="N1209">
        <v>1.931</v>
      </c>
      <c r="O1209">
        <f>(Table1[[#This Row],[P]]&lt;&gt;0)*(Table1[[#This Row],[C]]&lt;&gt;0)</f>
        <v>0</v>
      </c>
      <c r="P1209">
        <f>NETWORKDAYS(Table1[[#This Row],[ts_event]],Table1[[#This Row],[option_expiry_date]])</f>
        <v>137</v>
      </c>
      <c r="Q1209">
        <f>Table1[[#This Row],[Column2]]/252</f>
        <v>0.54365079365079361</v>
      </c>
      <c r="R1209" s="2" t="e">
        <f>IF(Table1[[#This Row],[CHECK2]]=0,NA(),
-(1/Table1[[#This Row],[T]])*LN((Table1[[#This Row],[S0]]-Table1[[#This Row],[C]]+Table1[[#This Row],[P]])/Table1[[#This Row],[K]])
)</f>
        <v>#N/A</v>
      </c>
    </row>
    <row r="1210" spans="1:18">
      <c r="A1210">
        <v>1</v>
      </c>
      <c r="B1210" t="s">
        <v>10</v>
      </c>
      <c r="C1210" s="1">
        <v>46162</v>
      </c>
      <c r="D1210" t="s">
        <v>20</v>
      </c>
      <c r="E1210">
        <v>60</v>
      </c>
      <c r="F1210" t="s">
        <v>12</v>
      </c>
      <c r="G1210" t="s">
        <v>13</v>
      </c>
      <c r="H1210" s="1">
        <v>46352</v>
      </c>
      <c r="I1210">
        <v>0</v>
      </c>
      <c r="J1210">
        <v>7.5250000000000004</v>
      </c>
      <c r="K1210">
        <v>0</v>
      </c>
      <c r="L1210">
        <v>100</v>
      </c>
      <c r="M1210">
        <v>47.367024637773604</v>
      </c>
      <c r="N1210">
        <v>1.931</v>
      </c>
      <c r="O1210">
        <f>(Table1[[#This Row],[P]]&lt;&gt;0)*(Table1[[#This Row],[C]]&lt;&gt;0)</f>
        <v>0</v>
      </c>
      <c r="P1210">
        <f>NETWORKDAYS(Table1[[#This Row],[ts_event]],Table1[[#This Row],[option_expiry_date]])</f>
        <v>137</v>
      </c>
      <c r="Q1210">
        <f>Table1[[#This Row],[Column2]]/252</f>
        <v>0.54365079365079361</v>
      </c>
      <c r="R1210" s="2" t="e">
        <f>IF(Table1[[#This Row],[CHECK2]]=0,NA(),
-(1/Table1[[#This Row],[T]])*LN((Table1[[#This Row],[S0]]-Table1[[#This Row],[C]]+Table1[[#This Row],[P]])/Table1[[#This Row],[K]])
)</f>
        <v>#N/A</v>
      </c>
    </row>
    <row r="1211" spans="1:18">
      <c r="A1211">
        <v>1</v>
      </c>
      <c r="B1211" t="s">
        <v>10</v>
      </c>
      <c r="C1211" s="1">
        <v>46162</v>
      </c>
      <c r="D1211" t="s">
        <v>20</v>
      </c>
      <c r="E1211">
        <v>75</v>
      </c>
      <c r="F1211" t="s">
        <v>12</v>
      </c>
      <c r="G1211" t="s">
        <v>13</v>
      </c>
      <c r="H1211" s="1">
        <v>46352</v>
      </c>
      <c r="I1211">
        <v>0</v>
      </c>
      <c r="J1211">
        <v>5.45</v>
      </c>
      <c r="K1211">
        <v>0</v>
      </c>
      <c r="L1211">
        <v>170</v>
      </c>
      <c r="M1211">
        <v>47.367024637773604</v>
      </c>
      <c r="N1211">
        <v>1.931</v>
      </c>
      <c r="O1211">
        <f>(Table1[[#This Row],[P]]&lt;&gt;0)*(Table1[[#This Row],[C]]&lt;&gt;0)</f>
        <v>0</v>
      </c>
      <c r="P1211">
        <f>NETWORKDAYS(Table1[[#This Row],[ts_event]],Table1[[#This Row],[option_expiry_date]])</f>
        <v>137</v>
      </c>
      <c r="Q1211">
        <f>Table1[[#This Row],[Column2]]/252</f>
        <v>0.54365079365079361</v>
      </c>
      <c r="R1211" s="2" t="e">
        <f>IF(Table1[[#This Row],[CHECK2]]=0,NA(),
-(1/Table1[[#This Row],[T]])*LN((Table1[[#This Row],[S0]]-Table1[[#This Row],[C]]+Table1[[#This Row],[P]])/Table1[[#This Row],[K]])
)</f>
        <v>#N/A</v>
      </c>
    </row>
    <row r="1212" spans="1:18">
      <c r="A1212">
        <v>1</v>
      </c>
      <c r="B1212" t="s">
        <v>10</v>
      </c>
      <c r="C1212" s="1">
        <v>46162</v>
      </c>
      <c r="D1212" t="s">
        <v>20</v>
      </c>
      <c r="E1212">
        <v>100</v>
      </c>
      <c r="F1212" t="s">
        <v>12</v>
      </c>
      <c r="G1212" t="s">
        <v>13</v>
      </c>
      <c r="H1212" s="1">
        <v>46352</v>
      </c>
      <c r="I1212">
        <v>0</v>
      </c>
      <c r="J1212">
        <v>3.43</v>
      </c>
      <c r="K1212">
        <v>0</v>
      </c>
      <c r="L1212">
        <v>235</v>
      </c>
      <c r="M1212">
        <v>47.367024637773604</v>
      </c>
      <c r="N1212">
        <v>1.931</v>
      </c>
      <c r="O1212">
        <f>(Table1[[#This Row],[P]]&lt;&gt;0)*(Table1[[#This Row],[C]]&lt;&gt;0)</f>
        <v>0</v>
      </c>
      <c r="P1212">
        <f>NETWORKDAYS(Table1[[#This Row],[ts_event]],Table1[[#This Row],[option_expiry_date]])</f>
        <v>137</v>
      </c>
      <c r="Q1212">
        <f>Table1[[#This Row],[Column2]]/252</f>
        <v>0.54365079365079361</v>
      </c>
      <c r="R1212" s="2" t="e">
        <f>IF(Table1[[#This Row],[CHECK2]]=0,NA(),
-(1/Table1[[#This Row],[T]])*LN((Table1[[#This Row],[S0]]-Table1[[#This Row],[C]]+Table1[[#This Row],[P]])/Table1[[#This Row],[K]])
)</f>
        <v>#N/A</v>
      </c>
    </row>
    <row r="1213" spans="1:18">
      <c r="A1213">
        <v>1</v>
      </c>
      <c r="B1213" t="s">
        <v>10</v>
      </c>
      <c r="C1213" s="1">
        <v>46162</v>
      </c>
      <c r="D1213" t="s">
        <v>19</v>
      </c>
      <c r="E1213">
        <v>25</v>
      </c>
      <c r="F1213" t="s">
        <v>12</v>
      </c>
      <c r="G1213" t="s">
        <v>13</v>
      </c>
      <c r="H1213" s="1">
        <v>46380</v>
      </c>
      <c r="I1213">
        <v>0.46</v>
      </c>
      <c r="J1213">
        <v>0</v>
      </c>
      <c r="K1213">
        <v>57</v>
      </c>
      <c r="L1213">
        <v>0</v>
      </c>
      <c r="M1213">
        <v>47.005446096654197</v>
      </c>
      <c r="N1213">
        <v>1.931</v>
      </c>
      <c r="O1213">
        <f>(Table1[[#This Row],[P]]&lt;&gt;0)*(Table1[[#This Row],[C]]&lt;&gt;0)</f>
        <v>0</v>
      </c>
      <c r="P1213">
        <f>NETWORKDAYS(Table1[[#This Row],[ts_event]],Table1[[#This Row],[option_expiry_date]])</f>
        <v>157</v>
      </c>
      <c r="Q1213">
        <f>Table1[[#This Row],[Column2]]/252</f>
        <v>0.62301587301587302</v>
      </c>
      <c r="R1213" s="2" t="e">
        <f>IF(Table1[[#This Row],[CHECK2]]=0,NA(),
-(1/Table1[[#This Row],[T]])*LN((Table1[[#This Row],[S0]]-Table1[[#This Row],[C]]+Table1[[#This Row],[P]])/Table1[[#This Row],[K]])
)</f>
        <v>#N/A</v>
      </c>
    </row>
    <row r="1214" spans="1:18">
      <c r="A1214">
        <v>1</v>
      </c>
      <c r="B1214" t="s">
        <v>10</v>
      </c>
      <c r="C1214" s="1">
        <v>46162</v>
      </c>
      <c r="D1214" t="s">
        <v>19</v>
      </c>
      <c r="E1214">
        <v>35</v>
      </c>
      <c r="F1214" t="s">
        <v>12</v>
      </c>
      <c r="G1214" t="s">
        <v>13</v>
      </c>
      <c r="H1214" s="1">
        <v>46380</v>
      </c>
      <c r="I1214">
        <v>2.96</v>
      </c>
      <c r="J1214">
        <v>0</v>
      </c>
      <c r="K1214">
        <v>57</v>
      </c>
      <c r="L1214">
        <v>0</v>
      </c>
      <c r="M1214">
        <v>47.005446096654197</v>
      </c>
      <c r="N1214">
        <v>1.931</v>
      </c>
      <c r="O1214">
        <f>(Table1[[#This Row],[P]]&lt;&gt;0)*(Table1[[#This Row],[C]]&lt;&gt;0)</f>
        <v>0</v>
      </c>
      <c r="P1214">
        <f>NETWORKDAYS(Table1[[#This Row],[ts_event]],Table1[[#This Row],[option_expiry_date]])</f>
        <v>157</v>
      </c>
      <c r="Q1214">
        <f>Table1[[#This Row],[Column2]]/252</f>
        <v>0.62301587301587302</v>
      </c>
      <c r="R1214" s="2" t="e">
        <f>IF(Table1[[#This Row],[CHECK2]]=0,NA(),
-(1/Table1[[#This Row],[T]])*LN((Table1[[#This Row],[S0]]-Table1[[#This Row],[C]]+Table1[[#This Row],[P]])/Table1[[#This Row],[K]])
)</f>
        <v>#N/A</v>
      </c>
    </row>
    <row r="1215" spans="1:18">
      <c r="A1215">
        <v>1</v>
      </c>
      <c r="B1215" t="s">
        <v>10</v>
      </c>
      <c r="C1215" s="1">
        <v>46162</v>
      </c>
      <c r="D1215" t="s">
        <v>19</v>
      </c>
      <c r="E1215">
        <v>40</v>
      </c>
      <c r="F1215" t="s">
        <v>12</v>
      </c>
      <c r="G1215" t="s">
        <v>13</v>
      </c>
      <c r="H1215" s="1">
        <v>46380</v>
      </c>
      <c r="I1215">
        <v>5.1749999999999998</v>
      </c>
      <c r="J1215">
        <v>0</v>
      </c>
      <c r="K1215">
        <v>500</v>
      </c>
      <c r="L1215">
        <v>0</v>
      </c>
      <c r="M1215">
        <v>47.005446096654197</v>
      </c>
      <c r="N1215">
        <v>1.931</v>
      </c>
      <c r="O1215">
        <f>(Table1[[#This Row],[P]]&lt;&gt;0)*(Table1[[#This Row],[C]]&lt;&gt;0)</f>
        <v>0</v>
      </c>
      <c r="P1215">
        <f>NETWORKDAYS(Table1[[#This Row],[ts_event]],Table1[[#This Row],[option_expiry_date]])</f>
        <v>157</v>
      </c>
      <c r="Q1215">
        <f>Table1[[#This Row],[Column2]]/252</f>
        <v>0.62301587301587302</v>
      </c>
      <c r="R1215" s="2" t="e">
        <f>IF(Table1[[#This Row],[CHECK2]]=0,NA(),
-(1/Table1[[#This Row],[T]])*LN((Table1[[#This Row],[S0]]-Table1[[#This Row],[C]]+Table1[[#This Row],[P]])/Table1[[#This Row],[K]])
)</f>
        <v>#N/A</v>
      </c>
    </row>
    <row r="1216" spans="1:18">
      <c r="A1216">
        <v>1</v>
      </c>
      <c r="B1216" t="s">
        <v>10</v>
      </c>
      <c r="C1216" s="1">
        <v>46162</v>
      </c>
      <c r="D1216" t="s">
        <v>19</v>
      </c>
      <c r="E1216">
        <v>55</v>
      </c>
      <c r="F1216" t="s">
        <v>12</v>
      </c>
      <c r="G1216" t="s">
        <v>13</v>
      </c>
      <c r="H1216" s="1">
        <v>46380</v>
      </c>
      <c r="I1216">
        <v>0</v>
      </c>
      <c r="J1216">
        <v>8.34</v>
      </c>
      <c r="K1216">
        <v>0</v>
      </c>
      <c r="L1216">
        <v>275</v>
      </c>
      <c r="M1216">
        <v>47.005446096654197</v>
      </c>
      <c r="N1216">
        <v>1.931</v>
      </c>
      <c r="O1216">
        <f>(Table1[[#This Row],[P]]&lt;&gt;0)*(Table1[[#This Row],[C]]&lt;&gt;0)</f>
        <v>0</v>
      </c>
      <c r="P1216">
        <f>NETWORKDAYS(Table1[[#This Row],[ts_event]],Table1[[#This Row],[option_expiry_date]])</f>
        <v>157</v>
      </c>
      <c r="Q1216">
        <f>Table1[[#This Row],[Column2]]/252</f>
        <v>0.62301587301587302</v>
      </c>
      <c r="R1216" s="2" t="e">
        <f>IF(Table1[[#This Row],[CHECK2]]=0,NA(),
-(1/Table1[[#This Row],[T]])*LN((Table1[[#This Row],[S0]]-Table1[[#This Row],[C]]+Table1[[#This Row],[P]])/Table1[[#This Row],[K]])
)</f>
        <v>#N/A</v>
      </c>
    </row>
    <row r="1217" spans="1:18">
      <c r="A1217">
        <v>1</v>
      </c>
      <c r="B1217" t="s">
        <v>10</v>
      </c>
      <c r="C1217" s="1">
        <v>46162</v>
      </c>
      <c r="D1217" t="s">
        <v>19</v>
      </c>
      <c r="E1217">
        <v>65</v>
      </c>
      <c r="F1217" t="s">
        <v>12</v>
      </c>
      <c r="G1217" t="s">
        <v>13</v>
      </c>
      <c r="H1217" s="1">
        <v>46380</v>
      </c>
      <c r="I1217">
        <v>0</v>
      </c>
      <c r="J1217">
        <v>6.76</v>
      </c>
      <c r="K1217">
        <v>0</v>
      </c>
      <c r="L1217">
        <v>100</v>
      </c>
      <c r="M1217">
        <v>47.005446096654197</v>
      </c>
      <c r="N1217">
        <v>1.931</v>
      </c>
      <c r="O1217">
        <f>(Table1[[#This Row],[P]]&lt;&gt;0)*(Table1[[#This Row],[C]]&lt;&gt;0)</f>
        <v>0</v>
      </c>
      <c r="P1217">
        <f>NETWORKDAYS(Table1[[#This Row],[ts_event]],Table1[[#This Row],[option_expiry_date]])</f>
        <v>157</v>
      </c>
      <c r="Q1217">
        <f>Table1[[#This Row],[Column2]]/252</f>
        <v>0.62301587301587302</v>
      </c>
      <c r="R1217" s="2" t="e">
        <f>IF(Table1[[#This Row],[CHECK2]]=0,NA(),
-(1/Table1[[#This Row],[T]])*LN((Table1[[#This Row],[S0]]-Table1[[#This Row],[C]]+Table1[[#This Row],[P]])/Table1[[#This Row],[K]])
)</f>
        <v>#N/A</v>
      </c>
    </row>
    <row r="1218" spans="1:18">
      <c r="A1218">
        <v>1</v>
      </c>
      <c r="B1218" t="s">
        <v>10</v>
      </c>
      <c r="C1218" s="1">
        <v>46162</v>
      </c>
      <c r="D1218" t="s">
        <v>19</v>
      </c>
      <c r="E1218">
        <v>70</v>
      </c>
      <c r="F1218" t="s">
        <v>12</v>
      </c>
      <c r="G1218" t="s">
        <v>13</v>
      </c>
      <c r="H1218" s="1">
        <v>46380</v>
      </c>
      <c r="I1218">
        <v>0</v>
      </c>
      <c r="J1218">
        <v>7.25</v>
      </c>
      <c r="K1218">
        <v>0</v>
      </c>
      <c r="L1218">
        <v>400</v>
      </c>
      <c r="M1218">
        <v>47.005446096654197</v>
      </c>
      <c r="N1218">
        <v>1.931</v>
      </c>
      <c r="O1218">
        <f>(Table1[[#This Row],[P]]&lt;&gt;0)*(Table1[[#This Row],[C]]&lt;&gt;0)</f>
        <v>0</v>
      </c>
      <c r="P1218">
        <f>NETWORKDAYS(Table1[[#This Row],[ts_event]],Table1[[#This Row],[option_expiry_date]])</f>
        <v>157</v>
      </c>
      <c r="Q1218">
        <f>Table1[[#This Row],[Column2]]/252</f>
        <v>0.62301587301587302</v>
      </c>
      <c r="R1218" s="2" t="e">
        <f>IF(Table1[[#This Row],[CHECK2]]=0,NA(),
-(1/Table1[[#This Row],[T]])*LN((Table1[[#This Row],[S0]]-Table1[[#This Row],[C]]+Table1[[#This Row],[P]])/Table1[[#This Row],[K]])
)</f>
        <v>#N/A</v>
      </c>
    </row>
    <row r="1219" spans="1:18">
      <c r="A1219">
        <v>1</v>
      </c>
      <c r="B1219" t="s">
        <v>10</v>
      </c>
      <c r="C1219" s="1">
        <v>46162</v>
      </c>
      <c r="D1219" t="s">
        <v>24</v>
      </c>
      <c r="E1219">
        <v>25</v>
      </c>
      <c r="F1219" t="s">
        <v>12</v>
      </c>
      <c r="G1219" t="s">
        <v>13</v>
      </c>
      <c r="H1219" s="1">
        <v>46414</v>
      </c>
      <c r="I1219">
        <v>0.7</v>
      </c>
      <c r="J1219">
        <v>0</v>
      </c>
      <c r="K1219">
        <v>259</v>
      </c>
      <c r="L1219">
        <v>0</v>
      </c>
      <c r="M1219">
        <v>46.626808402114399</v>
      </c>
      <c r="N1219">
        <v>1.931</v>
      </c>
      <c r="O1219">
        <f>(Table1[[#This Row],[P]]&lt;&gt;0)*(Table1[[#This Row],[C]]&lt;&gt;0)</f>
        <v>0</v>
      </c>
      <c r="P1219">
        <f>NETWORKDAYS(Table1[[#This Row],[ts_event]],Table1[[#This Row],[option_expiry_date]])</f>
        <v>181</v>
      </c>
      <c r="Q1219">
        <f>Table1[[#This Row],[Column2]]/252</f>
        <v>0.71825396825396826</v>
      </c>
      <c r="R1219" s="2" t="e">
        <f>IF(Table1[[#This Row],[CHECK2]]=0,NA(),
-(1/Table1[[#This Row],[T]])*LN((Table1[[#This Row],[S0]]-Table1[[#This Row],[C]]+Table1[[#This Row],[P]])/Table1[[#This Row],[K]])
)</f>
        <v>#N/A</v>
      </c>
    </row>
    <row r="1220" spans="1:18">
      <c r="A1220">
        <v>1</v>
      </c>
      <c r="B1220" t="s">
        <v>10</v>
      </c>
      <c r="C1220" s="1">
        <v>46162</v>
      </c>
      <c r="D1220" t="s">
        <v>24</v>
      </c>
      <c r="E1220">
        <v>35</v>
      </c>
      <c r="F1220" t="s">
        <v>12</v>
      </c>
      <c r="G1220" t="s">
        <v>13</v>
      </c>
      <c r="H1220" s="1">
        <v>46414</v>
      </c>
      <c r="I1220">
        <v>3.7</v>
      </c>
      <c r="J1220">
        <v>0</v>
      </c>
      <c r="K1220">
        <v>259</v>
      </c>
      <c r="L1220">
        <v>0</v>
      </c>
      <c r="M1220">
        <v>46.626808402114399</v>
      </c>
      <c r="N1220">
        <v>1.931</v>
      </c>
      <c r="O1220">
        <f>(Table1[[#This Row],[P]]&lt;&gt;0)*(Table1[[#This Row],[C]]&lt;&gt;0)</f>
        <v>0</v>
      </c>
      <c r="P1220">
        <f>NETWORKDAYS(Table1[[#This Row],[ts_event]],Table1[[#This Row],[option_expiry_date]])</f>
        <v>181</v>
      </c>
      <c r="Q1220">
        <f>Table1[[#This Row],[Column2]]/252</f>
        <v>0.71825396825396826</v>
      </c>
      <c r="R1220" s="2" t="e">
        <f>IF(Table1[[#This Row],[CHECK2]]=0,NA(),
-(1/Table1[[#This Row],[T]])*LN((Table1[[#This Row],[S0]]-Table1[[#This Row],[C]]+Table1[[#This Row],[P]])/Table1[[#This Row],[K]])
)</f>
        <v>#N/A</v>
      </c>
    </row>
    <row r="1221" spans="1:18">
      <c r="A1221">
        <v>1</v>
      </c>
      <c r="B1221" t="s">
        <v>10</v>
      </c>
      <c r="C1221" s="1">
        <v>46162</v>
      </c>
      <c r="D1221" t="s">
        <v>24</v>
      </c>
      <c r="E1221">
        <v>55</v>
      </c>
      <c r="F1221" t="s">
        <v>12</v>
      </c>
      <c r="G1221" t="s">
        <v>13</v>
      </c>
      <c r="H1221" s="1">
        <v>46414</v>
      </c>
      <c r="I1221">
        <v>0</v>
      </c>
      <c r="J1221">
        <v>8.66</v>
      </c>
      <c r="K1221">
        <v>0</v>
      </c>
      <c r="L1221">
        <v>715</v>
      </c>
      <c r="M1221">
        <v>46.626808402114399</v>
      </c>
      <c r="N1221">
        <v>1.931</v>
      </c>
      <c r="O1221">
        <f>(Table1[[#This Row],[P]]&lt;&gt;0)*(Table1[[#This Row],[C]]&lt;&gt;0)</f>
        <v>0</v>
      </c>
      <c r="P1221">
        <f>NETWORKDAYS(Table1[[#This Row],[ts_event]],Table1[[#This Row],[option_expiry_date]])</f>
        <v>181</v>
      </c>
      <c r="Q1221">
        <f>Table1[[#This Row],[Column2]]/252</f>
        <v>0.71825396825396826</v>
      </c>
      <c r="R1221" s="2" t="e">
        <f>IF(Table1[[#This Row],[CHECK2]]=0,NA(),
-(1/Table1[[#This Row],[T]])*LN((Table1[[#This Row],[S0]]-Table1[[#This Row],[C]]+Table1[[#This Row],[P]])/Table1[[#This Row],[K]])
)</f>
        <v>#N/A</v>
      </c>
    </row>
    <row r="1222" spans="1:18">
      <c r="A1222">
        <v>1</v>
      </c>
      <c r="B1222" t="s">
        <v>10</v>
      </c>
      <c r="C1222" s="1">
        <v>46162</v>
      </c>
      <c r="D1222" t="s">
        <v>24</v>
      </c>
      <c r="E1222">
        <v>65</v>
      </c>
      <c r="F1222" t="s">
        <v>12</v>
      </c>
      <c r="G1222" t="s">
        <v>13</v>
      </c>
      <c r="H1222" s="1">
        <v>46414</v>
      </c>
      <c r="I1222">
        <v>0</v>
      </c>
      <c r="J1222">
        <v>7.1399999999999899</v>
      </c>
      <c r="K1222">
        <v>0</v>
      </c>
      <c r="L1222">
        <v>590</v>
      </c>
      <c r="M1222">
        <v>46.626808402114399</v>
      </c>
      <c r="N1222">
        <v>1.931</v>
      </c>
      <c r="O1222">
        <f>(Table1[[#This Row],[P]]&lt;&gt;0)*(Table1[[#This Row],[C]]&lt;&gt;0)</f>
        <v>0</v>
      </c>
      <c r="P1222">
        <f>NETWORKDAYS(Table1[[#This Row],[ts_event]],Table1[[#This Row],[option_expiry_date]])</f>
        <v>181</v>
      </c>
      <c r="Q1222">
        <f>Table1[[#This Row],[Column2]]/252</f>
        <v>0.71825396825396826</v>
      </c>
      <c r="R1222" s="2" t="e">
        <f>IF(Table1[[#This Row],[CHECK2]]=0,NA(),
-(1/Table1[[#This Row],[T]])*LN((Table1[[#This Row],[S0]]-Table1[[#This Row],[C]]+Table1[[#This Row],[P]])/Table1[[#This Row],[K]])
)</f>
        <v>#N/A</v>
      </c>
    </row>
    <row r="1223" spans="1:18">
      <c r="A1223">
        <v>1</v>
      </c>
      <c r="B1223" t="s">
        <v>10</v>
      </c>
      <c r="C1223" s="1">
        <v>46162</v>
      </c>
      <c r="D1223" t="s">
        <v>23</v>
      </c>
      <c r="E1223">
        <v>45</v>
      </c>
      <c r="F1223" t="s">
        <v>12</v>
      </c>
      <c r="G1223" t="s">
        <v>13</v>
      </c>
      <c r="H1223" s="1">
        <v>46471</v>
      </c>
      <c r="I1223">
        <v>0</v>
      </c>
      <c r="J1223">
        <v>5.6</v>
      </c>
      <c r="K1223">
        <v>0</v>
      </c>
      <c r="L1223">
        <v>450</v>
      </c>
      <c r="M1223">
        <v>37.581718749999901</v>
      </c>
      <c r="N1223">
        <v>1.931</v>
      </c>
      <c r="O1223">
        <f>(Table1[[#This Row],[P]]&lt;&gt;0)*(Table1[[#This Row],[C]]&lt;&gt;0)</f>
        <v>0</v>
      </c>
      <c r="P1223">
        <f>NETWORKDAYS(Table1[[#This Row],[ts_event]],Table1[[#This Row],[option_expiry_date]])</f>
        <v>222</v>
      </c>
      <c r="Q1223">
        <f>Table1[[#This Row],[Column2]]/252</f>
        <v>0.88095238095238093</v>
      </c>
      <c r="R1223" s="2" t="e">
        <f>IF(Table1[[#This Row],[CHECK2]]=0,NA(),
-(1/Table1[[#This Row],[T]])*LN((Table1[[#This Row],[S0]]-Table1[[#This Row],[C]]+Table1[[#This Row],[P]])/Table1[[#This Row],[K]])
)</f>
        <v>#N/A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Eftychios Tsichlakis</dc:creator>
  <cp:lastModifiedBy>Eftychios Tsichlakis</cp:lastModifiedBy>
  <dcterms:created xsi:type="dcterms:W3CDTF">2026-06-09T20:39:37Z</dcterms:created>
  <dcterms:modified xsi:type="dcterms:W3CDTF">2026-06-14T21:47:10Z</dcterms:modified>
</cp:coreProperties>
</file>